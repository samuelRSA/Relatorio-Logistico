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\OneDrive\Área de Trabalho\FRETE\"/>
    </mc:Choice>
  </mc:AlternateContent>
  <xr:revisionPtr revIDLastSave="0" documentId="13_ncr:1_{247001B6-CD4E-4A4F-B5E1-86A48889E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ETE ABRIL" sheetId="2" r:id="rId1"/>
  </sheets>
  <definedNames>
    <definedName name="_xlnm._FilterDatabase" localSheetId="0" hidden="1">'FRETE ABRIL'!$A$1:$AA$163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2" i="2"/>
  <c r="AB2" i="2"/>
  <c r="V2" i="2"/>
  <c r="T127" i="2"/>
  <c r="W2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98" i="2"/>
  <c r="P97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1" i="2"/>
  <c r="P50" i="2"/>
  <c r="P49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17" i="2"/>
  <c r="P16" i="2"/>
  <c r="P15" i="2"/>
  <c r="P10" i="2"/>
  <c r="P9" i="2"/>
  <c r="P8" i="2"/>
  <c r="P7" i="2"/>
  <c r="P6" i="2"/>
  <c r="P5" i="2"/>
  <c r="P3" i="2"/>
  <c r="P2" i="2"/>
  <c r="T2" i="2" s="1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3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1" i="2"/>
  <c r="V50" i="2"/>
  <c r="V49" i="2"/>
  <c r="V48" i="2"/>
  <c r="V47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7" i="2"/>
  <c r="V16" i="2"/>
  <c r="V15" i="2"/>
  <c r="V10" i="2"/>
  <c r="V9" i="2"/>
  <c r="V8" i="2"/>
  <c r="V7" i="2"/>
  <c r="V6" i="2"/>
  <c r="V5" i="2"/>
  <c r="V3" i="2"/>
  <c r="S101" i="2"/>
  <c r="Y101" i="2" s="1"/>
  <c r="W15" i="2"/>
  <c r="S27" i="2"/>
  <c r="S2" i="2" l="1"/>
  <c r="Y2" i="2" l="1"/>
  <c r="AA2" i="2" s="1"/>
  <c r="W3" i="2"/>
  <c r="W5" i="2"/>
  <c r="W6" i="2"/>
  <c r="W7" i="2"/>
  <c r="W8" i="2"/>
  <c r="W9" i="2"/>
  <c r="W10" i="2"/>
  <c r="W16" i="2"/>
  <c r="W17" i="2"/>
  <c r="W19" i="2"/>
  <c r="W20" i="2"/>
  <c r="W21" i="2"/>
  <c r="W22" i="2"/>
  <c r="W23" i="2"/>
  <c r="W24" i="2"/>
  <c r="W25" i="2"/>
  <c r="W26" i="2"/>
  <c r="W27" i="2"/>
  <c r="Y27" i="2" s="1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7" i="2"/>
  <c r="W48" i="2"/>
  <c r="W49" i="2"/>
  <c r="W50" i="2"/>
  <c r="W51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103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U7" i="2"/>
  <c r="U3" i="2"/>
  <c r="U4" i="2"/>
  <c r="U5" i="2"/>
  <c r="U6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S3" i="2"/>
  <c r="S4" i="2"/>
  <c r="S5" i="2"/>
  <c r="Y5" i="2" s="1"/>
  <c r="S6" i="2"/>
  <c r="S7" i="2"/>
  <c r="Y7" i="2" s="1"/>
  <c r="S8" i="2"/>
  <c r="S9" i="2"/>
  <c r="S10" i="2"/>
  <c r="S11" i="2"/>
  <c r="S12" i="2"/>
  <c r="S13" i="2"/>
  <c r="Y13" i="2" s="1"/>
  <c r="S14" i="2"/>
  <c r="Y14" i="2" s="1"/>
  <c r="S15" i="2"/>
  <c r="Y15" i="2" s="1"/>
  <c r="S16" i="2"/>
  <c r="Y16" i="2" s="1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S32" i="2"/>
  <c r="S33" i="2"/>
  <c r="Y33" i="2" s="1"/>
  <c r="S34" i="2"/>
  <c r="S35" i="2"/>
  <c r="S36" i="2"/>
  <c r="S37" i="2"/>
  <c r="S38" i="2"/>
  <c r="S39" i="2"/>
  <c r="S40" i="2"/>
  <c r="S41" i="2"/>
  <c r="Y41" i="2" s="1"/>
  <c r="S42" i="2"/>
  <c r="S43" i="2"/>
  <c r="S44" i="2"/>
  <c r="S45" i="2"/>
  <c r="S46" i="2"/>
  <c r="S47" i="2"/>
  <c r="Y47" i="2" s="1"/>
  <c r="S48" i="2"/>
  <c r="Y48" i="2" s="1"/>
  <c r="S49" i="2"/>
  <c r="Y49" i="2" s="1"/>
  <c r="S50" i="2"/>
  <c r="Y50" i="2" s="1"/>
  <c r="S51" i="2"/>
  <c r="Y51" i="2" s="1"/>
  <c r="S52" i="2"/>
  <c r="S53" i="2"/>
  <c r="S54" i="2"/>
  <c r="Y54" i="2" s="1"/>
  <c r="S55" i="2"/>
  <c r="S56" i="2"/>
  <c r="Y56" i="2" s="1"/>
  <c r="S57" i="2"/>
  <c r="S58" i="2"/>
  <c r="S59" i="2"/>
  <c r="S60" i="2"/>
  <c r="Y60" i="2" s="1"/>
  <c r="S61" i="2"/>
  <c r="S62" i="2"/>
  <c r="Y62" i="2" s="1"/>
  <c r="S63" i="2"/>
  <c r="S64" i="2"/>
  <c r="Y64" i="2" s="1"/>
  <c r="S65" i="2"/>
  <c r="S66" i="2"/>
  <c r="S67" i="2"/>
  <c r="S68" i="2"/>
  <c r="Y68" i="2" s="1"/>
  <c r="S69" i="2"/>
  <c r="Y69" i="2" s="1"/>
  <c r="S70" i="2"/>
  <c r="Y70" i="2" s="1"/>
  <c r="S71" i="2"/>
  <c r="S72" i="2"/>
  <c r="Y72" i="2" s="1"/>
  <c r="S73" i="2"/>
  <c r="Y73" i="2" s="1"/>
  <c r="S74" i="2"/>
  <c r="S75" i="2"/>
  <c r="S76" i="2"/>
  <c r="S77" i="2"/>
  <c r="S78" i="2"/>
  <c r="S79" i="2"/>
  <c r="Y79" i="2" s="1"/>
  <c r="S80" i="2"/>
  <c r="Y80" i="2" s="1"/>
  <c r="S81" i="2"/>
  <c r="Y81" i="2" s="1"/>
  <c r="S82" i="2"/>
  <c r="S83" i="2"/>
  <c r="S84" i="2"/>
  <c r="S85" i="2"/>
  <c r="S86" i="2"/>
  <c r="S87" i="2"/>
  <c r="Y87" i="2" s="1"/>
  <c r="S88" i="2"/>
  <c r="Y88" i="2" s="1"/>
  <c r="S89" i="2"/>
  <c r="Y89" i="2" s="1"/>
  <c r="S90" i="2"/>
  <c r="S91" i="2"/>
  <c r="S92" i="2"/>
  <c r="S93" i="2"/>
  <c r="S94" i="2"/>
  <c r="S95" i="2"/>
  <c r="Y95" i="2" s="1"/>
  <c r="S96" i="2"/>
  <c r="Y96" i="2" s="1"/>
  <c r="S97" i="2"/>
  <c r="Y97" i="2" s="1"/>
  <c r="S98" i="2"/>
  <c r="S99" i="2"/>
  <c r="S100" i="2"/>
  <c r="Y100" i="2" s="1"/>
  <c r="S102" i="2"/>
  <c r="S103" i="2"/>
  <c r="S104" i="2"/>
  <c r="S105" i="2"/>
  <c r="Y105" i="2" s="1"/>
  <c r="S106" i="2"/>
  <c r="Y106" i="2" s="1"/>
  <c r="S107" i="2"/>
  <c r="Y107" i="2" s="1"/>
  <c r="S108" i="2"/>
  <c r="Y108" i="2" s="1"/>
  <c r="S109" i="2"/>
  <c r="Y109" i="2" s="1"/>
  <c r="S110" i="2"/>
  <c r="Y110" i="2" s="1"/>
  <c r="S111" i="2"/>
  <c r="Y111" i="2" s="1"/>
  <c r="S112" i="2"/>
  <c r="Y112" i="2" s="1"/>
  <c r="S113" i="2"/>
  <c r="Y113" i="2" s="1"/>
  <c r="S114" i="2"/>
  <c r="Y114" i="2" s="1"/>
  <c r="S115" i="2"/>
  <c r="Y115" i="2" s="1"/>
  <c r="S116" i="2"/>
  <c r="Y116" i="2" s="1"/>
  <c r="S117" i="2"/>
  <c r="Y117" i="2" s="1"/>
  <c r="S118" i="2"/>
  <c r="Y118" i="2" s="1"/>
  <c r="S119" i="2"/>
  <c r="Y119" i="2" s="1"/>
  <c r="S120" i="2"/>
  <c r="Y120" i="2" s="1"/>
  <c r="S121" i="2"/>
  <c r="Y121" i="2" s="1"/>
  <c r="S122" i="2"/>
  <c r="Y122" i="2" s="1"/>
  <c r="S123" i="2"/>
  <c r="Y123" i="2" s="1"/>
  <c r="S124" i="2"/>
  <c r="Y124" i="2" s="1"/>
  <c r="S125" i="2"/>
  <c r="Y125" i="2" s="1"/>
  <c r="S126" i="2"/>
  <c r="S127" i="2"/>
  <c r="Y127" i="2" s="1"/>
  <c r="S128" i="2"/>
  <c r="S129" i="2"/>
  <c r="Y129" i="2" s="1"/>
  <c r="S130" i="2"/>
  <c r="S131" i="2"/>
  <c r="S132" i="2"/>
  <c r="S133" i="2"/>
  <c r="Y133" i="2" s="1"/>
  <c r="S134" i="2"/>
  <c r="S135" i="2"/>
  <c r="Y135" i="2" s="1"/>
  <c r="S136" i="2"/>
  <c r="S137" i="2"/>
  <c r="Y137" i="2" s="1"/>
  <c r="S138" i="2"/>
  <c r="S139" i="2"/>
  <c r="S140" i="2"/>
  <c r="S141" i="2"/>
  <c r="Y141" i="2" s="1"/>
  <c r="S142" i="2"/>
  <c r="S143" i="2"/>
  <c r="Y143" i="2" s="1"/>
  <c r="S144" i="2"/>
  <c r="S145" i="2"/>
  <c r="Y145" i="2" s="1"/>
  <c r="S146" i="2"/>
  <c r="S147" i="2"/>
  <c r="S148" i="2"/>
  <c r="S149" i="2"/>
  <c r="Y149" i="2" s="1"/>
  <c r="S150" i="2"/>
  <c r="S151" i="2"/>
  <c r="Y151" i="2" s="1"/>
  <c r="S152" i="2"/>
  <c r="S153" i="2"/>
  <c r="Y153" i="2" s="1"/>
  <c r="S154" i="2"/>
  <c r="S155" i="2"/>
  <c r="S156" i="2"/>
  <c r="S157" i="2"/>
  <c r="Y157" i="2" s="1"/>
  <c r="S158" i="2"/>
  <c r="S159" i="2"/>
  <c r="Y159" i="2" s="1"/>
  <c r="S160" i="2"/>
  <c r="S161" i="2"/>
  <c r="Y161" i="2" s="1"/>
  <c r="S162" i="2"/>
  <c r="S163" i="2"/>
  <c r="Y158" i="2" l="1"/>
  <c r="Y150" i="2"/>
  <c r="Y142" i="2"/>
  <c r="Z142" i="2" s="1"/>
  <c r="Y134" i="2"/>
  <c r="Y61" i="2"/>
  <c r="Y53" i="2"/>
  <c r="Y103" i="2"/>
  <c r="Y21" i="2"/>
  <c r="Y37" i="2"/>
  <c r="Y29" i="2"/>
  <c r="Y24" i="2"/>
  <c r="AA24" i="2" s="1"/>
  <c r="Y40" i="2"/>
  <c r="Z40" i="2" s="1"/>
  <c r="Y32" i="2"/>
  <c r="AA32" i="2" s="1"/>
  <c r="Y23" i="2"/>
  <c r="AA23" i="2" s="1"/>
  <c r="Y160" i="2"/>
  <c r="AA160" i="2" s="1"/>
  <c r="Y152" i="2"/>
  <c r="AA152" i="2" s="1"/>
  <c r="Y144" i="2"/>
  <c r="Y136" i="2"/>
  <c r="Z136" i="2" s="1"/>
  <c r="Y128" i="2"/>
  <c r="AA128" i="2" s="1"/>
  <c r="Y63" i="2"/>
  <c r="Y55" i="2"/>
  <c r="Y39" i="2"/>
  <c r="AA39" i="2" s="1"/>
  <c r="Y31" i="2"/>
  <c r="Z31" i="2" s="1"/>
  <c r="Y6" i="2"/>
  <c r="Y94" i="2"/>
  <c r="Y78" i="2"/>
  <c r="Y85" i="2"/>
  <c r="Y86" i="2"/>
  <c r="Y93" i="2"/>
  <c r="AA93" i="2" s="1"/>
  <c r="Y44" i="2"/>
  <c r="Y36" i="2"/>
  <c r="Y28" i="2"/>
  <c r="Y77" i="2"/>
  <c r="AA77" i="2" s="1"/>
  <c r="Y20" i="2"/>
  <c r="Y156" i="2"/>
  <c r="Y148" i="2"/>
  <c r="Y140" i="2"/>
  <c r="Y132" i="2"/>
  <c r="Y67" i="2"/>
  <c r="AA67" i="2" s="1"/>
  <c r="Y59" i="2"/>
  <c r="AA59" i="2" s="1"/>
  <c r="Y10" i="2"/>
  <c r="Y162" i="2"/>
  <c r="AA162" i="2" s="1"/>
  <c r="Y154" i="2"/>
  <c r="Y146" i="2"/>
  <c r="Y138" i="2"/>
  <c r="Y130" i="2"/>
  <c r="Y65" i="2"/>
  <c r="Y57" i="2"/>
  <c r="Y8" i="2"/>
  <c r="Y22" i="2"/>
  <c r="AA22" i="2" s="1"/>
  <c r="Y38" i="2"/>
  <c r="AA38" i="2" s="1"/>
  <c r="Y30" i="2"/>
  <c r="AA30" i="2" s="1"/>
  <c r="Y92" i="2"/>
  <c r="AA92" i="2" s="1"/>
  <c r="Y84" i="2"/>
  <c r="AA84" i="2" s="1"/>
  <c r="Y76" i="2"/>
  <c r="Y19" i="2"/>
  <c r="Y91" i="2"/>
  <c r="Y83" i="2"/>
  <c r="Y75" i="2"/>
  <c r="Y43" i="2"/>
  <c r="Y35" i="2"/>
  <c r="Y26" i="2"/>
  <c r="Y163" i="2"/>
  <c r="AA163" i="2" s="1"/>
  <c r="Y155" i="2"/>
  <c r="Y147" i="2"/>
  <c r="Y139" i="2"/>
  <c r="Y131" i="2"/>
  <c r="Y98" i="2"/>
  <c r="Z98" i="2" s="1"/>
  <c r="Y90" i="2"/>
  <c r="Z90" i="2" s="1"/>
  <c r="Y82" i="2"/>
  <c r="AA82" i="2" s="1"/>
  <c r="Y74" i="2"/>
  <c r="AA74" i="2" s="1"/>
  <c r="Y66" i="2"/>
  <c r="AA66" i="2" s="1"/>
  <c r="Y58" i="2"/>
  <c r="Y42" i="2"/>
  <c r="Y34" i="2"/>
  <c r="Y25" i="2"/>
  <c r="Y17" i="2"/>
  <c r="Y9" i="2"/>
  <c r="AA65" i="2"/>
  <c r="AA57" i="2"/>
  <c r="Z58" i="2"/>
  <c r="Z96" i="2"/>
  <c r="Z88" i="2"/>
  <c r="Z80" i="2"/>
  <c r="AA72" i="2"/>
  <c r="Z64" i="2"/>
  <c r="AA150" i="2"/>
  <c r="AA95" i="2"/>
  <c r="Z87" i="2"/>
  <c r="AA79" i="2"/>
  <c r="AA85" i="2"/>
  <c r="Z68" i="2"/>
  <c r="Z127" i="2"/>
  <c r="Z151" i="2"/>
  <c r="AA143" i="2"/>
  <c r="AA135" i="2"/>
  <c r="AA144" i="2"/>
  <c r="Z120" i="2"/>
  <c r="AA112" i="2"/>
  <c r="Z125" i="2"/>
  <c r="Z124" i="2"/>
  <c r="AA124" i="2"/>
  <c r="Z109" i="2"/>
  <c r="Z119" i="2"/>
  <c r="AA111" i="2"/>
  <c r="Z158" i="2"/>
  <c r="Z117" i="2"/>
  <c r="Z5" i="2"/>
  <c r="AA48" i="2"/>
  <c r="AA15" i="2"/>
  <c r="Z159" i="2"/>
  <c r="AA3" i="2"/>
  <c r="AA104" i="2"/>
  <c r="Z104" i="2"/>
  <c r="AA126" i="2"/>
  <c r="Z126" i="2"/>
  <c r="AA13" i="2"/>
  <c r="Z13" i="2"/>
  <c r="Z45" i="2"/>
  <c r="AA45" i="2"/>
  <c r="AA12" i="2"/>
  <c r="Z12" i="2"/>
  <c r="AA52" i="2"/>
  <c r="Z52" i="2"/>
  <c r="AA11" i="2"/>
  <c r="Z11" i="2"/>
  <c r="AA101" i="2"/>
  <c r="Z101" i="2"/>
  <c r="AA4" i="2"/>
  <c r="Z4" i="2"/>
  <c r="AA99" i="2"/>
  <c r="Z99" i="2"/>
  <c r="Z18" i="2"/>
  <c r="AA18" i="2"/>
  <c r="AA71" i="2"/>
  <c r="Z71" i="2"/>
  <c r="AA102" i="2"/>
  <c r="Z102" i="2"/>
  <c r="AA46" i="2"/>
  <c r="Z46" i="2"/>
  <c r="AA31" i="2" l="1"/>
  <c r="Z30" i="2"/>
  <c r="Z15" i="2"/>
  <c r="AA64" i="2"/>
  <c r="Z38" i="2"/>
  <c r="Z77" i="2"/>
  <c r="AA159" i="2"/>
  <c r="Z39" i="2"/>
  <c r="Z85" i="2"/>
  <c r="Z84" i="2"/>
  <c r="AA119" i="2"/>
  <c r="Z93" i="2"/>
  <c r="Z22" i="2"/>
  <c r="Z65" i="2"/>
  <c r="Z74" i="2"/>
  <c r="AA88" i="2"/>
  <c r="Z48" i="2"/>
  <c r="Z92" i="2"/>
  <c r="AA120" i="2"/>
  <c r="Z95" i="2"/>
  <c r="Z112" i="2"/>
  <c r="Z143" i="2"/>
  <c r="Z82" i="2"/>
  <c r="AA98" i="2"/>
  <c r="AA87" i="2"/>
  <c r="AA109" i="2"/>
  <c r="AA151" i="2"/>
  <c r="AA117" i="2"/>
  <c r="AA90" i="2"/>
  <c r="Z135" i="2"/>
  <c r="AA5" i="2"/>
  <c r="AA158" i="2"/>
  <c r="AA96" i="2"/>
  <c r="AA142" i="2"/>
  <c r="Z111" i="2"/>
  <c r="AA125" i="2"/>
  <c r="Z150" i="2"/>
  <c r="Z72" i="2"/>
  <c r="Z67" i="2"/>
  <c r="AA127" i="2"/>
  <c r="AA80" i="2"/>
  <c r="Z2" i="2"/>
  <c r="Z57" i="2"/>
  <c r="Z59" i="2"/>
  <c r="Z79" i="2"/>
  <c r="Z24" i="2"/>
  <c r="Z152" i="2"/>
  <c r="Z128" i="2"/>
  <c r="AA40" i="2"/>
  <c r="AA136" i="2"/>
  <c r="Z160" i="2"/>
  <c r="Z144" i="2"/>
  <c r="Z3" i="2"/>
  <c r="Z66" i="2"/>
  <c r="AA58" i="2"/>
  <c r="Z32" i="2"/>
  <c r="Z23" i="2"/>
  <c r="AA17" i="2"/>
  <c r="Z17" i="2"/>
  <c r="Z156" i="2"/>
  <c r="AA156" i="2"/>
  <c r="Z16" i="2"/>
  <c r="AA16" i="2"/>
  <c r="AA60" i="2"/>
  <c r="Z60" i="2"/>
  <c r="AA100" i="2"/>
  <c r="Z100" i="2"/>
  <c r="AA14" i="2"/>
  <c r="Z14" i="2"/>
  <c r="AA81" i="2"/>
  <c r="Z81" i="2"/>
  <c r="AA19" i="2"/>
  <c r="Z19" i="2"/>
  <c r="AA115" i="2"/>
  <c r="Z115" i="2"/>
  <c r="Z133" i="2"/>
  <c r="AA133" i="2"/>
  <c r="Z108" i="2"/>
  <c r="AA108" i="2"/>
  <c r="AA37" i="2"/>
  <c r="Z37" i="2"/>
  <c r="AA121" i="2"/>
  <c r="Z121" i="2"/>
  <c r="Z50" i="2"/>
  <c r="AA50" i="2"/>
  <c r="AA78" i="2"/>
  <c r="Z78" i="2"/>
  <c r="AA110" i="2"/>
  <c r="Z110" i="2"/>
  <c r="AA47" i="2"/>
  <c r="Z47" i="2"/>
  <c r="AA105" i="2"/>
  <c r="Z105" i="2"/>
  <c r="AA29" i="2"/>
  <c r="Z29" i="2"/>
  <c r="Z154" i="2"/>
  <c r="AA154" i="2"/>
  <c r="AA68" i="2"/>
  <c r="AA89" i="2"/>
  <c r="Z89" i="2"/>
  <c r="AA27" i="2"/>
  <c r="Z27" i="2"/>
  <c r="AA123" i="2"/>
  <c r="Z123" i="2"/>
  <c r="AA149" i="2"/>
  <c r="Z149" i="2"/>
  <c r="AA116" i="2"/>
  <c r="Z116" i="2"/>
  <c r="AA141" i="2"/>
  <c r="Z141" i="2"/>
  <c r="AA129" i="2"/>
  <c r="Z129" i="2"/>
  <c r="AA130" i="2"/>
  <c r="Z130" i="2"/>
  <c r="AA86" i="2"/>
  <c r="Z86" i="2"/>
  <c r="AA118" i="2"/>
  <c r="Z118" i="2"/>
  <c r="AA63" i="2"/>
  <c r="Z63" i="2"/>
  <c r="AA91" i="2"/>
  <c r="Z91" i="2"/>
  <c r="AA138" i="2"/>
  <c r="Z138" i="2"/>
  <c r="AA107" i="2"/>
  <c r="Z107" i="2"/>
  <c r="AA21" i="2"/>
  <c r="Z21" i="2"/>
  <c r="AA35" i="2"/>
  <c r="Z35" i="2"/>
  <c r="Z146" i="2"/>
  <c r="AA146" i="2"/>
  <c r="AA139" i="2"/>
  <c r="Z139" i="2"/>
  <c r="Z162" i="2"/>
  <c r="AA54" i="2"/>
  <c r="Z54" i="2"/>
  <c r="AA55" i="2"/>
  <c r="Z55" i="2"/>
  <c r="AA44" i="2"/>
  <c r="Z44" i="2"/>
  <c r="AA94" i="2"/>
  <c r="Z94" i="2"/>
  <c r="AA134" i="2"/>
  <c r="Z134" i="2"/>
  <c r="Z10" i="2"/>
  <c r="AA10" i="2"/>
  <c r="AA113" i="2"/>
  <c r="Z113" i="2"/>
  <c r="AA157" i="2"/>
  <c r="Z157" i="2"/>
  <c r="AA137" i="2"/>
  <c r="Z137" i="2"/>
  <c r="AA103" i="2"/>
  <c r="Z103" i="2"/>
  <c r="Z61" i="2"/>
  <c r="AA61" i="2"/>
  <c r="AA43" i="2"/>
  <c r="Z43" i="2"/>
  <c r="Z20" i="2"/>
  <c r="AA20" i="2"/>
  <c r="AA132" i="2"/>
  <c r="Z132" i="2"/>
  <c r="AA145" i="2"/>
  <c r="Z145" i="2"/>
  <c r="AA70" i="2"/>
  <c r="Z70" i="2"/>
  <c r="AA147" i="2"/>
  <c r="Z147" i="2"/>
  <c r="AA153" i="2"/>
  <c r="Z153" i="2"/>
  <c r="AA76" i="2"/>
  <c r="Z76" i="2"/>
  <c r="AA56" i="2"/>
  <c r="Z56" i="2"/>
  <c r="Z69" i="2"/>
  <c r="AA69" i="2"/>
  <c r="Z163" i="2"/>
  <c r="Z34" i="2"/>
  <c r="AA34" i="2"/>
  <c r="AA73" i="2"/>
  <c r="Z73" i="2"/>
  <c r="Z42" i="2"/>
  <c r="AA42" i="2"/>
  <c r="AA97" i="2"/>
  <c r="Z97" i="2"/>
  <c r="AA131" i="2"/>
  <c r="Z131" i="2"/>
  <c r="AA25" i="2"/>
  <c r="Z25" i="2"/>
  <c r="AA7" i="2"/>
  <c r="Z7" i="2"/>
  <c r="Z106" i="2"/>
  <c r="AA106" i="2"/>
  <c r="AA33" i="2"/>
  <c r="Z33" i="2"/>
  <c r="Z53" i="2"/>
  <c r="AA53" i="2"/>
  <c r="AA114" i="2"/>
  <c r="Z114" i="2"/>
  <c r="AA75" i="2"/>
  <c r="Z75" i="2"/>
  <c r="AA28" i="2"/>
  <c r="Z28" i="2"/>
  <c r="Z140" i="2"/>
  <c r="AA140" i="2"/>
  <c r="AA41" i="2"/>
  <c r="Z41" i="2"/>
  <c r="AA51" i="2"/>
  <c r="Z51" i="2"/>
  <c r="AA9" i="2"/>
  <c r="Z9" i="2"/>
  <c r="Z122" i="2"/>
  <c r="AA122" i="2"/>
  <c r="AA83" i="2"/>
  <c r="Z83" i="2"/>
  <c r="AA155" i="2"/>
  <c r="Z155" i="2"/>
  <c r="Z36" i="2"/>
  <c r="AA36" i="2"/>
  <c r="AA148" i="2"/>
  <c r="Z148" i="2"/>
  <c r="AA49" i="2"/>
  <c r="Z49" i="2"/>
  <c r="AA161" i="2"/>
  <c r="Z161" i="2"/>
  <c r="Z26" i="2"/>
  <c r="AA26" i="2"/>
  <c r="AA6" i="2"/>
  <c r="Z6" i="2"/>
  <c r="Z8" i="2"/>
  <c r="AA8" i="2"/>
  <c r="AA62" i="2"/>
  <c r="Z62" i="2"/>
</calcChain>
</file>

<file path=xl/sharedStrings.xml><?xml version="1.0" encoding="utf-8"?>
<sst xmlns="http://schemas.openxmlformats.org/spreadsheetml/2006/main" count="1005" uniqueCount="220">
  <si>
    <t>Empresa</t>
  </si>
  <si>
    <t>Cód. UF de Destino</t>
  </si>
  <si>
    <t>Descrição (Tipo de Negociação)</t>
  </si>
  <si>
    <t>Tipo Operação</t>
  </si>
  <si>
    <t>Nro. Único</t>
  </si>
  <si>
    <t>Peso bruto</t>
  </si>
  <si>
    <t>Peso liq. dos Itens</t>
  </si>
  <si>
    <t>Nro. Nota</t>
  </si>
  <si>
    <t>Dt. Neg.</t>
  </si>
  <si>
    <t>Vlr. Nota</t>
  </si>
  <si>
    <t>Nome Parceiro (Parceiro)</t>
  </si>
  <si>
    <t>Apelido (Vendedor)</t>
  </si>
  <si>
    <t>GRUPO BH</t>
  </si>
  <si>
    <t>SUPERMERCADOS BH - AV. ALICE COUTINHO SANTOS - 530</t>
  </si>
  <si>
    <t>ES</t>
  </si>
  <si>
    <t>LR DISTRIBUIDORA</t>
  </si>
  <si>
    <t>LR DISTRIBUIDORA DE LATICINIOS LTDA - MATRIZ</t>
  </si>
  <si>
    <t>INTERNO</t>
  </si>
  <si>
    <t>TRANSFERENCIA ENTRE FILIAIS</t>
  </si>
  <si>
    <t>TELEMASSAS</t>
  </si>
  <si>
    <t>EXTRABOM (REALMAR)</t>
  </si>
  <si>
    <t>REALMAR DISTRIBUIDORA LTDA - MARIO DE VARGAS COUTINHO - CD-1</t>
  </si>
  <si>
    <t>SUPERMERCADOS BH - R. CARLOS ROMERO MARANGONI - 523</t>
  </si>
  <si>
    <t>SUPERMERCADOS BH - ROD. DO CAFÉ GETHER LOPES DE FARIAS - 504</t>
  </si>
  <si>
    <t>SUPERMERCADOS BH - AV. NOSSA SENHORA DA PENHA - 526</t>
  </si>
  <si>
    <t>SUPERMERCADOS BH - AV. SANTA LEOPOLDINA - 511</t>
  </si>
  <si>
    <t>SUPERMERCADOS BH - AV. ANCHIETA - 533</t>
  </si>
  <si>
    <t>SUPERMERCADOS BH - AV. MARIO GURGEL - 531</t>
  </si>
  <si>
    <t>SUPERMERCADOS BH - ROD. MARIO GURGEL - 528</t>
  </si>
  <si>
    <t>MARTINS</t>
  </si>
  <si>
    <t>REDE MARTINS FACIL LTDA - LINHARES</t>
  </si>
  <si>
    <t>PERIM (ITAPOA)</t>
  </si>
  <si>
    <t>ITAPOA SUPERMERCADO LTDA. - DEOLINDO PERIM - 04</t>
  </si>
  <si>
    <t>CASAGRANDE</t>
  </si>
  <si>
    <t>SUPERMERCADOS CASAGRANDE - PEDRO CANARIO</t>
  </si>
  <si>
    <t>SUPERMERCADOS CASAGRANDE LTDA - BARCELONA</t>
  </si>
  <si>
    <t>SUPERMERCADOS CASAGRANDE LTDA - COQUEIRAL</t>
  </si>
  <si>
    <t>MULTIPLA</t>
  </si>
  <si>
    <t>MULTIPLA DISTRIBUIDORA DE ALIMENTOS - MATRIZ</t>
  </si>
  <si>
    <t>CARREFOUR RJ</t>
  </si>
  <si>
    <t>CARREFOUR COMERCIO E INDUSTRIA LTDA-WASHINGTON LUIZ</t>
  </si>
  <si>
    <t>LUCILENE SANTOS</t>
  </si>
  <si>
    <t>SUPERMERCADOS BH - SHOPPING PRAIA DA COSTA - 540</t>
  </si>
  <si>
    <t>SUPERMERCADOS BH - R. EUGÊNIO NETTO - 522</t>
  </si>
  <si>
    <t>CARREFOUR SP</t>
  </si>
  <si>
    <t>CARREFOUR COMERCIO E INDUSTRIA LTDA - SP</t>
  </si>
  <si>
    <t>RICARDO FACIOLI</t>
  </si>
  <si>
    <t>SUPERMERCADOS CASAGRANDE LTDA - ARACRUZ</t>
  </si>
  <si>
    <t>ITAPOA SUPERMERCADO LTDA. - JOSÉ BARCELLOS DE MATTOS - 19</t>
  </si>
  <si>
    <t>SUPERMERCADOS CASAGRANDE LTDA - GUARAPARI</t>
  </si>
  <si>
    <t>ITAPOA SUPERMERCADO LTDA. - DESEMBARGADOR DERMEVAL LYRIO - 15</t>
  </si>
  <si>
    <t>SUPERMERCADOS CASAGRANDE LTDA - JACARAIPE</t>
  </si>
  <si>
    <t>SUPERMERCADOS CASAGRANDE LTDA - GAIVOTAS</t>
  </si>
  <si>
    <t>SUPERMERCADOS BH - ROD. DO SOL - 545</t>
  </si>
  <si>
    <t>SUPERMERCADOS BH - AV. COPACABANA - 538</t>
  </si>
  <si>
    <t>SUPERMERCADOS BH - AV. ELDES SCHERRER SOUZA - 510</t>
  </si>
  <si>
    <t>SUPERMERCADOS BH - AV. ELDES SCHERRER SOUZA - 508</t>
  </si>
  <si>
    <t>SUPERMERCADOS BH - AV. JERONIMO MONTEIRO - 512</t>
  </si>
  <si>
    <t>SUPERMERCADOS BH - R. AGENOR BARBATO - 515</t>
  </si>
  <si>
    <t>SUPERMERCADOS BH - R. RUY PINTO BANDEIRA - 519</t>
  </si>
  <si>
    <t>SUPERMERCADOS BH - JOSÉ MARIA VIVÁCQUA SANTOS - 521</t>
  </si>
  <si>
    <t>SUPERMERCADOS BH - AV. WALDEMAR VERÇOSA PITANGA - 514</t>
  </si>
  <si>
    <t>SUPERMERCADOS BH - AV. ELDES SCHERRER SOUZA - 507</t>
  </si>
  <si>
    <t>SUPERMERCADOS BH - ROD. GOVERNADOR MÁRIO COVAS - 544</t>
  </si>
  <si>
    <t>SUPERMERCADOS BH - AV. ABIDO SAADI - 506</t>
  </si>
  <si>
    <t>CATIA MARTINS</t>
  </si>
  <si>
    <t>SUPERMERCADOS BH - JOSE DUARTE PAIVA</t>
  </si>
  <si>
    <t>SUPERMERCADOS BH - AV CAIO MARTINS</t>
  </si>
  <si>
    <t>SUPERMERCADOS BH - AV. STA BEATRIZ SILVA - 347</t>
  </si>
  <si>
    <t>SUPERMERCADOS BH - TIMOTEO CENTRO</t>
  </si>
  <si>
    <t>DMA</t>
  </si>
  <si>
    <t>DMA DISTRIBUIDORA S/A - MG - MATRIZ</t>
  </si>
  <si>
    <t>SUPERMERCADOS BH - AV. TONICO REIS - 284</t>
  </si>
  <si>
    <t>SUPERMERCADOS BH- AV. DEPUTADO PLINIO RIBEIRO - 145</t>
  </si>
  <si>
    <t>SUPERMERCADOS BH - AV. PREFEITO ALBERTO MOURA - 283</t>
  </si>
  <si>
    <t>SAMS CLUB</t>
  </si>
  <si>
    <t>WMB SUPERMERCADOS DO BRASIL LTDA - MG</t>
  </si>
  <si>
    <t>SUPERMERCADOS BH - INHAUMA</t>
  </si>
  <si>
    <t>SUPERMERCADOS BH - AV. DR FIDELIS REIS - 345</t>
  </si>
  <si>
    <t>ALIMENTOS TRIGOMAIS INDUSTRIA E COMERCIO LTDA</t>
  </si>
  <si>
    <t>WMB SUPERMERCADOS DO BRASIL LTDA - B. DA TIJUCA</t>
  </si>
  <si>
    <t>WMB SUPERMERCADOS DO BRASIL LTDA - CACHAMBI</t>
  </si>
  <si>
    <t>WMB SUPERMERCADOS DO BRASIL LTDA - NITEROI</t>
  </si>
  <si>
    <t>GUANABARA</t>
  </si>
  <si>
    <t>CASAS GUANABARA COMESTIVEIS LTDA - MATRIZ</t>
  </si>
  <si>
    <t>GPA</t>
  </si>
  <si>
    <t>CIA BRASILEIRA DE DISTRIBUICAO</t>
  </si>
  <si>
    <t>CARREFOUR COMERCIO E INDUSTRIA - NORTE SHOPPING</t>
  </si>
  <si>
    <t>PHILIPE ALMEIDA DOS SANTOS</t>
  </si>
  <si>
    <t>GERMANS</t>
  </si>
  <si>
    <t>SUPERMERCADOS CASAGRANDE LTDA - SÃO MATEUS NOVO</t>
  </si>
  <si>
    <t>VENDEDOR</t>
  </si>
  <si>
    <t>SUPERMERCADOS CASAGRANDE LTDA - ALTO LAGE</t>
  </si>
  <si>
    <t>SUPERMERCADOS BH - AV. PREFEITO SAMUEL BATISTA CRUZ - 535</t>
  </si>
  <si>
    <t>SUPERMERCADOS BH - R. THIERS VELLOSO - 525</t>
  </si>
  <si>
    <t>SUPERMERCADOS BH - AV. HENRIQUE MOSCOSO - 539</t>
  </si>
  <si>
    <t>SUPERMERCADOS BH - AV. VITÓRIA RÉGIA - 518</t>
  </si>
  <si>
    <t>SUPERMERCADOS BH - PRAÇA REGINA FRIGERI FURNO - 524</t>
  </si>
  <si>
    <t>SUPERMERCADOS BH - AV. INDUSTRIAL - 543</t>
  </si>
  <si>
    <t>RETIRADA</t>
  </si>
  <si>
    <t>PIZZARIA DO ZE - MATRIZ</t>
  </si>
  <si>
    <t>CARREFOUR COMERCIO E INDUSTRIA - CAMPO GRANDE</t>
  </si>
  <si>
    <t>CARREFOUR COMERCIO E INDUSTRIA LTDA - BRIGADEIRO LIMA E SILVA</t>
  </si>
  <si>
    <t>CARREFOUR COMERCIO E INDUSTRIA LTDA - SULACAP</t>
  </si>
  <si>
    <t>CARREFOUR COMERCIO E INDUSTRIA - ALCANTARA</t>
  </si>
  <si>
    <t>CARREFOUR COMERCIO E INDUSTRIA - PARQUE SANTO AMARO</t>
  </si>
  <si>
    <t>CARREFOUR COMERCIO E INDUSTRIA - RIO BARRA</t>
  </si>
  <si>
    <t>MERCADO FÊNIX DO RIO LTDA</t>
  </si>
  <si>
    <t>SUPERMERCADOS CASAGRANDE LTDA - ARAÇA</t>
  </si>
  <si>
    <t>GRASSI</t>
  </si>
  <si>
    <t>SUPERMERCADO GRASSI LTDA - MATRIZ</t>
  </si>
  <si>
    <t>SUPERMERCADOS CASAGRANDE LTDA - GURIRI</t>
  </si>
  <si>
    <t>ITAPOA SUPERMERCADO LTDA. - AYRTON SENNA DA SILVA - 14</t>
  </si>
  <si>
    <t>SUPERMERCADOS CASAGRANDE LTDA - CACHOEIRO</t>
  </si>
  <si>
    <t>SUPERMERCADOS BH - ROD. SAFRA - 505</t>
  </si>
  <si>
    <t>SUPERMERCADOS BH - AV. JOÃO SANTOS FILHO - 520</t>
  </si>
  <si>
    <t>SUPERMERCADOS BH - AV. MARECHAL CAMPOS - 527</t>
  </si>
  <si>
    <t>ITAPOA SUPERMERCADO LTDA. - MARIO GURGEL - 17</t>
  </si>
  <si>
    <t>SUPERMERCADOS CASAGRANDE LTDA - TEIXEIRA DE FREITAS I</t>
  </si>
  <si>
    <t>SUPERMERCADOS BH - AV. CORONEL CACILDO ARANTES - 279</t>
  </si>
  <si>
    <t>SUPERMERCADOS BH - BETHANIA</t>
  </si>
  <si>
    <t>SUPERMERCADOS BH - AV. IPANEMA - 38</t>
  </si>
  <si>
    <t>SUPERMERCADOS BH - AV. MARABA - 274</t>
  </si>
  <si>
    <t>SUPERMERCADOS BH - R. MAJOR GOTE - 275</t>
  </si>
  <si>
    <t>SUPERMERCADOS BH - AV. BRASIL - 360</t>
  </si>
  <si>
    <t>SUPERMERCADOS BH - CORONEL JOSE JULIO MASCARENHAS</t>
  </si>
  <si>
    <t>SUPERMERCADOS BH - R. DOM JOAO PIMENTA - 60</t>
  </si>
  <si>
    <t>SUPERMERCADOS BH - AV. FRANCISCO GAETANI - 222</t>
  </si>
  <si>
    <t>VICTOR ALVEZ DE MELO JUNIOR</t>
  </si>
  <si>
    <t>ANDERSON FILIPE JORGE</t>
  </si>
  <si>
    <t>SUPERMERCADOS CASAGRANDE LTDA - COLATINA</t>
  </si>
  <si>
    <t>ITAPOA SUPERMERCADO LTDA. - LUCIANO DAS NEVES - 12</t>
  </si>
  <si>
    <t>WMB SUPERMERCADOS DO BRASIL LTDA -  ES</t>
  </si>
  <si>
    <t>SUPERMERCADOS CASAGRANDE LTDA - BNH LINHARES</t>
  </si>
  <si>
    <t>SUPERMERCADOS CASAGRANDE LTDA - RIO MARINHO</t>
  </si>
  <si>
    <t>SUPERMERCADOS CASAGRANDE LTDA - CONCEICAO DA BARRA</t>
  </si>
  <si>
    <t>SUPERMERCADOS CASAGRANDE LTDA - SAO MATEUS VELHO</t>
  </si>
  <si>
    <t>CARREFOUR COMERCIO E INDUSTRIA - MACAE</t>
  </si>
  <si>
    <t>WASHINGTON DE JESUS</t>
  </si>
  <si>
    <t>SUPERMERCADOS BH - AV. GOVERNADOR JONES DOS SANTOS NEVES - 532</t>
  </si>
  <si>
    <t>SUPERMERCADOS BH - AV. PROFESSOR JOSE INACIO DE SOUZA - 303</t>
  </si>
  <si>
    <t>SUPERMERCADOS BH - JUSCELINO KUBITSCHEK</t>
  </si>
  <si>
    <t>SUPERMERCADOS BH - R. ORLANDO AGUIAR DA SILVA - 357</t>
  </si>
  <si>
    <t>SUPERMERCADOS BH - AV. EDUARDO FELICE - 354</t>
  </si>
  <si>
    <t>SUPERMERCADOS BH - AV. FLORIANO PEIXOTO - 353</t>
  </si>
  <si>
    <t>SUPERMERCADOS BH COMERCIO DE ALIMENTOS S/A - ITACIBA</t>
  </si>
  <si>
    <t>GERMANS DISTRIBUIDORA DE COMESTIVEIS LTDA - CD</t>
  </si>
  <si>
    <t>SUPERMERCADOS BH - AV. DOS EUCALIPTOS - 350</t>
  </si>
  <si>
    <t>SUPERMERCADOS BH - AL. DOS PINHAIS - 297</t>
  </si>
  <si>
    <t>SUPERMERCADOS PADOVA LTDA</t>
  </si>
  <si>
    <t>SUPERMERCADOS CASAGRANDE LTDA - NOVA VICOSA</t>
  </si>
  <si>
    <t>SUPERMERCADOS BH COMERCIO DE ALIMENTOS S/A - SAO DIOGO II</t>
  </si>
  <si>
    <t>SUPERMERCADOS BH COMERCIO DE ALIMENTOS S/A - VILA CAPIXABA</t>
  </si>
  <si>
    <t>TUBARAO MARINE SERVICES LTDA</t>
  </si>
  <si>
    <t>PHILIPE</t>
  </si>
  <si>
    <t>SUPERMERCADOS BH - AV ANSELMO ALVES DOS SANTOS - 294</t>
  </si>
  <si>
    <t>SUPERMERCADOS BH - R. CRUZEIRO DOS PEIXOTOS - 351</t>
  </si>
  <si>
    <t>Cidade</t>
  </si>
  <si>
    <t>PEDRO CANARIO</t>
  </si>
  <si>
    <t>Vila Velha</t>
  </si>
  <si>
    <t>ITAPEVI</t>
  </si>
  <si>
    <t>MACAE</t>
  </si>
  <si>
    <t>CAMPOS DOS GOYTACAZES</t>
  </si>
  <si>
    <t>RIO DE JANEIRO</t>
  </si>
  <si>
    <t>DUQUE DE CAXIAS</t>
  </si>
  <si>
    <t>SAO GONCALO</t>
  </si>
  <si>
    <t>Uberaba</t>
  </si>
  <si>
    <t>Ipatinga</t>
  </si>
  <si>
    <t>UBERLANDIA</t>
  </si>
  <si>
    <t>CURVELO</t>
  </si>
  <si>
    <t>Sete Lagoas</t>
  </si>
  <si>
    <t>Matozinhos</t>
  </si>
  <si>
    <t>Montes Claros</t>
  </si>
  <si>
    <t>PATOS DE MINAS</t>
  </si>
  <si>
    <t>CONTAGEM</t>
  </si>
  <si>
    <t>GUARAPARI</t>
  </si>
  <si>
    <t>LINHARES</t>
  </si>
  <si>
    <t>COLATINA</t>
  </si>
  <si>
    <t>VITORIA</t>
  </si>
  <si>
    <t>CACHOEIRO DE ITAPEMIRIM</t>
  </si>
  <si>
    <t>VIANA</t>
  </si>
  <si>
    <t>Cariacica</t>
  </si>
  <si>
    <t>CONCEICAO DA BARRA</t>
  </si>
  <si>
    <t>SAO MATEUS</t>
  </si>
  <si>
    <t>Serra</t>
  </si>
  <si>
    <t>ARACRUZ</t>
  </si>
  <si>
    <t>NITEROI</t>
  </si>
  <si>
    <t>TEIXEIRA DE FREITAS</t>
  </si>
  <si>
    <t>NOVA VICOSA</t>
  </si>
  <si>
    <t>TIMOTEO</t>
  </si>
  <si>
    <t>Belo Horizonte</t>
  </si>
  <si>
    <t>Venda Nova do Imigrante</t>
  </si>
  <si>
    <t>MARATAIZES</t>
  </si>
  <si>
    <t>ANCHIETA</t>
  </si>
  <si>
    <t>BA</t>
  </si>
  <si>
    <t>Nro CTE 1</t>
  </si>
  <si>
    <t xml:space="preserve">Vlr. CTE 1 </t>
  </si>
  <si>
    <t>Nro CTE 2</t>
  </si>
  <si>
    <t>Vlr. CTE 2</t>
  </si>
  <si>
    <t>Valor Adicional</t>
  </si>
  <si>
    <t>TUBARAOMARINE</t>
  </si>
  <si>
    <t>PADOVA</t>
  </si>
  <si>
    <t>TRIGOMAIS</t>
  </si>
  <si>
    <t>SP</t>
  </si>
  <si>
    <t>MG</t>
  </si>
  <si>
    <t>RJ</t>
  </si>
  <si>
    <t>TRANSFERENCIA</t>
  </si>
  <si>
    <t>PIZZARIA ZÉ</t>
  </si>
  <si>
    <t>PHILLIPE</t>
  </si>
  <si>
    <t>VENDA</t>
  </si>
  <si>
    <t>BONIFICAÇÃO</t>
  </si>
  <si>
    <t>C. Movimentação</t>
  </si>
  <si>
    <t>C. Armazenagem</t>
  </si>
  <si>
    <t>Frete/Kg Bruto</t>
  </si>
  <si>
    <t>Frete/Kg Líquido</t>
  </si>
  <si>
    <t>Custo Transporte Total</t>
  </si>
  <si>
    <t>Custo Logístico Total</t>
  </si>
  <si>
    <t>Resultado Logístico</t>
  </si>
  <si>
    <t>Índice Logístico</t>
  </si>
  <si>
    <t>C.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</si>
</sst>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4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4" fontId="0" fillId="0" borderId="0" xfId="0" applyNumberFormat="1"/>
    <xf numFmtId="44" fontId="0" fillId="0" borderId="0" xfId="2" applyFont="1"/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44" fontId="0" fillId="0" borderId="0" xfId="2" applyFont="1" applyAlignment="1">
      <alignment horizontal="center"/>
    </xf>
    <xf numFmtId="44" fontId="0" fillId="0" borderId="0" xfId="0" applyNumberFormat="1"/>
    <xf numFmtId="9" fontId="0" fillId="0" borderId="0" xfId="5" applyFont="1"/>
    <xf numFmtId="8" fontId="0" fillId="0" borderId="0" xfId="0" applyNumberFormat="1"/>
    <xf numFmtId="43" fontId="1" fillId="0" borderId="0" xfId="1" applyFont="1" applyAlignment="1">
      <alignment horizontal="left"/>
    </xf>
    <xf numFmtId="43" fontId="0" fillId="0" borderId="0" xfId="1" applyFont="1"/>
  </cellXfs>
  <cellStyles count="6">
    <cellStyle name="Moeda" xfId="2" builtinId="4"/>
    <cellStyle name="Normal" xfId="0" builtinId="0"/>
    <cellStyle name="Normal 2" xfId="3" xr:uid="{A220F69C-18C7-4EC5-A0D4-DFD8D8A0AAF9}"/>
    <cellStyle name="Normal 3" xfId="4" xr:uid="{FA521278-1DE8-4B68-B9E4-ED8E91F5E20A}"/>
    <cellStyle name="Porcentagem" xfId="5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F1C6-370D-4261-953A-B02E0B54CF5A}">
  <dimension ref="A1:AB171"/>
  <sheetViews>
    <sheetView tabSelected="1" topLeftCell="D1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2.7109375" customWidth="1"/>
    <col min="2" max="2" width="10.140625" customWidth="1"/>
    <col min="3" max="3" width="36.42578125" bestFit="1" customWidth="1"/>
    <col min="4" max="4" width="18.42578125" bestFit="1" customWidth="1"/>
    <col min="5" max="5" width="12.85546875" bestFit="1" customWidth="1"/>
    <col min="6" max="6" width="17.5703125" customWidth="1"/>
    <col min="7" max="7" width="19.7109375" customWidth="1"/>
    <col min="8" max="8" width="13.42578125" customWidth="1"/>
    <col min="9" max="9" width="15.5703125" customWidth="1"/>
    <col min="10" max="10" width="16.42578125" customWidth="1"/>
    <col min="11" max="11" width="15.140625" customWidth="1"/>
    <col min="12" max="12" width="15.140625" style="6" customWidth="1"/>
    <col min="13" max="13" width="15.140625" style="4" customWidth="1"/>
    <col min="14" max="14" width="15.140625" style="6" customWidth="1"/>
    <col min="15" max="16" width="15.140625" style="4" customWidth="1"/>
    <col min="17" max="17" width="71.85546875" customWidth="1"/>
    <col min="18" max="18" width="29.42578125" customWidth="1"/>
    <col min="19" max="19" width="19.85546875" bestFit="1" customWidth="1"/>
    <col min="20" max="20" width="11.7109375" bestFit="1" customWidth="1"/>
    <col min="21" max="21" width="13.5703125" bestFit="1" customWidth="1"/>
    <col min="22" max="22" width="18.28515625" customWidth="1"/>
    <col min="23" max="23" width="18.140625" style="4" bestFit="1" customWidth="1"/>
    <col min="24" max="24" width="16.5703125" style="12" customWidth="1"/>
    <col min="25" max="25" width="19.85546875" customWidth="1"/>
    <col min="26" max="26" width="12.28515625" customWidth="1"/>
    <col min="27" max="27" width="19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157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8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10</v>
      </c>
      <c r="R1" s="1" t="s">
        <v>11</v>
      </c>
      <c r="S1" s="1" t="s">
        <v>215</v>
      </c>
      <c r="T1" s="1" t="s">
        <v>213</v>
      </c>
      <c r="U1" s="1" t="s">
        <v>214</v>
      </c>
      <c r="V1" s="1" t="s">
        <v>212</v>
      </c>
      <c r="W1" s="1" t="s">
        <v>211</v>
      </c>
      <c r="X1" s="11" t="s">
        <v>219</v>
      </c>
      <c r="Y1" s="1" t="s">
        <v>216</v>
      </c>
      <c r="Z1" s="1" t="s">
        <v>218</v>
      </c>
      <c r="AA1" s="1" t="s">
        <v>217</v>
      </c>
    </row>
    <row r="2" spans="1:28" x14ac:dyDescent="0.25">
      <c r="A2">
        <v>2</v>
      </c>
      <c r="B2" t="s">
        <v>14</v>
      </c>
      <c r="C2" t="s">
        <v>33</v>
      </c>
      <c r="D2" t="s">
        <v>209</v>
      </c>
      <c r="E2">
        <v>3137</v>
      </c>
      <c r="F2" t="s">
        <v>184</v>
      </c>
      <c r="G2">
        <v>24571</v>
      </c>
      <c r="H2" s="3">
        <v>62.95</v>
      </c>
      <c r="I2" s="3">
        <v>57</v>
      </c>
      <c r="J2" s="3">
        <v>2704</v>
      </c>
      <c r="K2" s="2">
        <v>46114</v>
      </c>
      <c r="L2" s="5" t="s">
        <v>99</v>
      </c>
      <c r="M2" s="7"/>
      <c r="N2" s="5"/>
      <c r="O2" s="7"/>
      <c r="P2" s="7">
        <f>0.0768385441837987*H2</f>
        <v>4.8369863563701276</v>
      </c>
      <c r="Q2" t="s">
        <v>35</v>
      </c>
      <c r="R2" t="s">
        <v>138</v>
      </c>
      <c r="S2" s="8">
        <f>SUM(M2+O2+P2)</f>
        <v>4.8369863563701276</v>
      </c>
      <c r="T2" s="8">
        <f>SUM(M2+O2+P2)/H2</f>
        <v>7.6838544183798693E-2</v>
      </c>
      <c r="U2" s="8">
        <f t="shared" ref="U2:U33" si="0">SUM(M2+O2+P2)/I2</f>
        <v>8.4859409760879426E-2</v>
      </c>
      <c r="V2" s="8">
        <f>H2*0.136067534853132</f>
        <v>8.5654513190046604</v>
      </c>
      <c r="W2" s="4">
        <f>H2*0.17</f>
        <v>10.701500000000001</v>
      </c>
      <c r="X2" s="12">
        <f>IFERROR(IF(D2="TRANSFERENCIA",0,H2*(SUMIF(D:D,"TRANSFERENCIA",M:M)+SUMIF(D:D,"TRANSFERENCIA",O:O))/(SUMIF(D:D,"BONIFICAÇÃO",H:H)+SUMIF(D:D,"VENDA",H:H))),0)</f>
        <v>7.8788635432294152</v>
      </c>
      <c r="Y2" s="8">
        <f>S2+V2+W2+X2</f>
        <v>31.982801218604202</v>
      </c>
      <c r="Z2" s="9">
        <f t="shared" ref="Z2:Z33" si="1">Y2/J2</f>
        <v>1.1827959030548891E-2</v>
      </c>
      <c r="AA2" s="8">
        <f>J2-Y2</f>
        <v>2672.017198781396</v>
      </c>
      <c r="AB2">
        <f>IF(E2="TRANSFERENCIA",0,IFERROR(I2/(SUMIF(E:E,"BONIFICAÇÃO",I:I)+SUMIF(E:E,"VENDA",I:I))*(SUMIF(E:E,"TRANSFERENCIA",N:N)+SUMIF(E:E,"TRANSFERENCIA",P:P)),0))</f>
        <v>0</v>
      </c>
    </row>
    <row r="3" spans="1:28" x14ac:dyDescent="0.25">
      <c r="A3">
        <v>2</v>
      </c>
      <c r="B3" t="s">
        <v>14</v>
      </c>
      <c r="C3" t="s">
        <v>154</v>
      </c>
      <c r="D3" t="s">
        <v>210</v>
      </c>
      <c r="E3">
        <v>3138</v>
      </c>
      <c r="F3" t="s">
        <v>181</v>
      </c>
      <c r="G3">
        <v>24572</v>
      </c>
      <c r="H3" s="3">
        <v>96</v>
      </c>
      <c r="I3" s="3">
        <v>90.4</v>
      </c>
      <c r="J3" s="3">
        <v>733.38</v>
      </c>
      <c r="K3" s="2">
        <v>46114</v>
      </c>
      <c r="L3" s="5" t="s">
        <v>99</v>
      </c>
      <c r="M3" s="7"/>
      <c r="N3" s="5"/>
      <c r="O3" s="7"/>
      <c r="P3" s="7">
        <f>0.0768385441837987*H3</f>
        <v>7.3765002416446741</v>
      </c>
      <c r="Q3" t="s">
        <v>88</v>
      </c>
      <c r="R3" t="s">
        <v>17</v>
      </c>
      <c r="S3" s="8">
        <f t="shared" ref="S3:S33" si="2">SUM(M3+O3+P3)</f>
        <v>7.3765002416446741</v>
      </c>
      <c r="T3" s="8">
        <f t="shared" ref="T3:T33" si="3">SUM(M3+O3+P3)/H3</f>
        <v>7.6838544183798693E-2</v>
      </c>
      <c r="U3" s="8">
        <f t="shared" si="0"/>
        <v>8.1598454000494175E-2</v>
      </c>
      <c r="V3" s="8">
        <f>H3*0.136067534853132</f>
        <v>13.062483345900672</v>
      </c>
      <c r="W3" s="4">
        <f>H3*0.17</f>
        <v>16.32</v>
      </c>
      <c r="X3" s="12">
        <f t="shared" ref="X3:X66" si="4">IFERROR(IF(D3="TRANSFERENCIA",0,H3*(SUMIF(D:D,"TRANSFERENCIA",M:M)+SUMIF(D:D,"TRANSFERENCIA",O:O))/(SUMIF(D:D,"BONIFICAÇÃO",H:H)+SUMIF(D:D,"VENDA",H:H))),0)</f>
        <v>12.015423354249783</v>
      </c>
      <c r="Y3" s="8">
        <f>S3+V3+W3+X3</f>
        <v>48.774406941795128</v>
      </c>
      <c r="Z3" s="9">
        <f t="shared" si="1"/>
        <v>6.6506322700094253E-2</v>
      </c>
      <c r="AA3" s="8">
        <f>J3-Y3</f>
        <v>684.60559305820482</v>
      </c>
    </row>
    <row r="4" spans="1:28" x14ac:dyDescent="0.25">
      <c r="A4">
        <v>1</v>
      </c>
      <c r="B4" t="s">
        <v>14</v>
      </c>
      <c r="C4" t="s">
        <v>18</v>
      </c>
      <c r="D4" t="s">
        <v>206</v>
      </c>
      <c r="E4">
        <v>20879</v>
      </c>
      <c r="F4" t="s">
        <v>181</v>
      </c>
      <c r="G4">
        <v>24586</v>
      </c>
      <c r="H4" s="3">
        <v>856.8</v>
      </c>
      <c r="I4" s="3">
        <v>806.4</v>
      </c>
      <c r="J4" s="3">
        <v>6549.12</v>
      </c>
      <c r="K4" s="2">
        <v>46114</v>
      </c>
      <c r="L4" s="5"/>
      <c r="M4" s="7"/>
      <c r="N4" s="5">
        <v>610717</v>
      </c>
      <c r="O4" s="7">
        <v>237.03629184376626</v>
      </c>
      <c r="P4" s="7"/>
      <c r="Q4" t="s">
        <v>19</v>
      </c>
      <c r="R4" t="s">
        <v>206</v>
      </c>
      <c r="S4" s="8">
        <f t="shared" si="2"/>
        <v>237.03629184376626</v>
      </c>
      <c r="T4" s="8">
        <f t="shared" si="3"/>
        <v>0.27665300168506801</v>
      </c>
      <c r="U4" s="8">
        <f t="shared" si="0"/>
        <v>0.29394381429038474</v>
      </c>
      <c r="V4" s="8"/>
      <c r="X4" s="12">
        <f t="shared" si="4"/>
        <v>0</v>
      </c>
      <c r="Y4" s="8">
        <v>0</v>
      </c>
      <c r="Z4" s="9">
        <f t="shared" si="1"/>
        <v>0</v>
      </c>
      <c r="AA4" s="8">
        <f>J4-Y4</f>
        <v>6549.12</v>
      </c>
    </row>
    <row r="5" spans="1:28" x14ac:dyDescent="0.25">
      <c r="A5">
        <v>2</v>
      </c>
      <c r="B5" t="s">
        <v>14</v>
      </c>
      <c r="C5" t="s">
        <v>33</v>
      </c>
      <c r="D5" t="s">
        <v>209</v>
      </c>
      <c r="E5">
        <v>3139</v>
      </c>
      <c r="F5" t="s">
        <v>183</v>
      </c>
      <c r="G5">
        <v>24588</v>
      </c>
      <c r="H5" s="3">
        <v>97.95</v>
      </c>
      <c r="I5" s="3">
        <v>92</v>
      </c>
      <c r="J5" s="3">
        <v>3983</v>
      </c>
      <c r="K5" s="2">
        <v>46114</v>
      </c>
      <c r="L5" s="5"/>
      <c r="M5" s="7"/>
      <c r="N5" s="5">
        <v>607784</v>
      </c>
      <c r="O5" s="7">
        <v>127.34</v>
      </c>
      <c r="P5" s="7">
        <f t="shared" ref="P5:P10" si="5">0.0768385441837987*H5</f>
        <v>7.526335402803082</v>
      </c>
      <c r="Q5" t="s">
        <v>111</v>
      </c>
      <c r="R5" t="s">
        <v>129</v>
      </c>
      <c r="S5" s="8">
        <f t="shared" si="2"/>
        <v>134.86633540280309</v>
      </c>
      <c r="T5" s="8">
        <f t="shared" si="3"/>
        <v>1.3768895906360703</v>
      </c>
      <c r="U5" s="8">
        <f t="shared" si="0"/>
        <v>1.4659384282913379</v>
      </c>
      <c r="V5" s="8">
        <f t="shared" ref="V5:V10" si="6">H5*0.136067534853132</f>
        <v>13.32781503886428</v>
      </c>
      <c r="W5" s="4">
        <f t="shared" ref="W5:W10" si="7">H5*0.17</f>
        <v>16.651500000000002</v>
      </c>
      <c r="X5" s="12">
        <f t="shared" si="4"/>
        <v>12.259486641132982</v>
      </c>
      <c r="Y5" s="8">
        <f t="shared" ref="Y3:Y66" si="8">S5+V5+W5+X5</f>
        <v>177.10513708280035</v>
      </c>
      <c r="Z5" s="9">
        <f t="shared" si="1"/>
        <v>4.4465261632638801E-2</v>
      </c>
      <c r="AA5" s="8">
        <f>J5-Y5</f>
        <v>3805.8948629171996</v>
      </c>
    </row>
    <row r="6" spans="1:28" x14ac:dyDescent="0.25">
      <c r="A6">
        <v>2</v>
      </c>
      <c r="B6" t="s">
        <v>14</v>
      </c>
      <c r="C6" t="s">
        <v>33</v>
      </c>
      <c r="D6" t="s">
        <v>209</v>
      </c>
      <c r="E6">
        <v>3141</v>
      </c>
      <c r="F6" t="s">
        <v>158</v>
      </c>
      <c r="G6">
        <v>24589</v>
      </c>
      <c r="H6" s="3">
        <v>86.3</v>
      </c>
      <c r="I6" s="3">
        <v>80</v>
      </c>
      <c r="J6" s="3">
        <v>3402</v>
      </c>
      <c r="K6" s="2">
        <v>46114</v>
      </c>
      <c r="L6" s="5"/>
      <c r="M6" s="7"/>
      <c r="N6" s="5">
        <v>607785</v>
      </c>
      <c r="O6" s="7">
        <v>112.19</v>
      </c>
      <c r="P6" s="7">
        <f t="shared" si="5"/>
        <v>6.6311663630618272</v>
      </c>
      <c r="Q6" t="s">
        <v>34</v>
      </c>
      <c r="R6" t="s">
        <v>129</v>
      </c>
      <c r="S6" s="8">
        <f t="shared" si="2"/>
        <v>118.82116636306182</v>
      </c>
      <c r="T6" s="8">
        <f t="shared" si="3"/>
        <v>1.3768385441837987</v>
      </c>
      <c r="U6" s="8">
        <f t="shared" si="0"/>
        <v>1.4852645795382728</v>
      </c>
      <c r="V6" s="8">
        <f t="shared" si="6"/>
        <v>11.742628257825292</v>
      </c>
      <c r="W6" s="4">
        <f t="shared" si="7"/>
        <v>14.671000000000001</v>
      </c>
      <c r="X6" s="12">
        <f t="shared" si="4"/>
        <v>10.801364952830795</v>
      </c>
      <c r="Y6" s="8">
        <f t="shared" si="8"/>
        <v>156.0361595737179</v>
      </c>
      <c r="Z6" s="9">
        <f t="shared" si="1"/>
        <v>4.5866008105149292E-2</v>
      </c>
      <c r="AA6" s="8">
        <f>J6-Y6</f>
        <v>3245.9638404262823</v>
      </c>
    </row>
    <row r="7" spans="1:28" x14ac:dyDescent="0.25">
      <c r="A7">
        <v>2</v>
      </c>
      <c r="B7" t="s">
        <v>14</v>
      </c>
      <c r="C7" t="s">
        <v>20</v>
      </c>
      <c r="D7" t="s">
        <v>209</v>
      </c>
      <c r="E7">
        <v>3142</v>
      </c>
      <c r="F7" t="s">
        <v>184</v>
      </c>
      <c r="G7">
        <v>24590</v>
      </c>
      <c r="H7" s="3">
        <v>589.04999999999995</v>
      </c>
      <c r="I7" s="3">
        <v>554.4</v>
      </c>
      <c r="J7" s="3">
        <v>25250.13</v>
      </c>
      <c r="K7" s="2">
        <v>46114</v>
      </c>
      <c r="L7" s="5"/>
      <c r="M7" s="7"/>
      <c r="N7" s="5">
        <v>607781</v>
      </c>
      <c r="O7" s="7">
        <v>765.77</v>
      </c>
      <c r="P7" s="7">
        <f t="shared" si="5"/>
        <v>45.261744451466619</v>
      </c>
      <c r="Q7" t="s">
        <v>21</v>
      </c>
      <c r="R7" t="s">
        <v>17</v>
      </c>
      <c r="S7" s="8">
        <f t="shared" si="2"/>
        <v>811.03174445146658</v>
      </c>
      <c r="T7" s="8">
        <f t="shared" si="3"/>
        <v>1.376847032427581</v>
      </c>
      <c r="U7" s="8">
        <f t="shared" si="0"/>
        <v>1.4628999719543048</v>
      </c>
      <c r="V7" s="8">
        <f t="shared" si="6"/>
        <v>80.150581405237403</v>
      </c>
      <c r="W7" s="4">
        <f t="shared" si="7"/>
        <v>100.13849999999999</v>
      </c>
      <c r="X7" s="12">
        <f t="shared" si="4"/>
        <v>73.725886737717019</v>
      </c>
      <c r="Y7" s="8">
        <f t="shared" si="8"/>
        <v>1065.046712594421</v>
      </c>
      <c r="Z7" s="9">
        <f t="shared" si="1"/>
        <v>4.2179850661934054E-2</v>
      </c>
      <c r="AA7" s="8">
        <f>J7-Y7</f>
        <v>24185.083287405581</v>
      </c>
    </row>
    <row r="8" spans="1:28" x14ac:dyDescent="0.25">
      <c r="A8">
        <v>1</v>
      </c>
      <c r="B8" t="s">
        <v>14</v>
      </c>
      <c r="C8" t="s">
        <v>12</v>
      </c>
      <c r="D8" t="s">
        <v>209</v>
      </c>
      <c r="E8">
        <v>20880</v>
      </c>
      <c r="F8" t="s">
        <v>177</v>
      </c>
      <c r="G8">
        <v>24594</v>
      </c>
      <c r="H8" s="3">
        <v>100.05</v>
      </c>
      <c r="I8" s="3">
        <v>93.4</v>
      </c>
      <c r="J8" s="3">
        <v>4252.59</v>
      </c>
      <c r="K8" s="2">
        <v>46114</v>
      </c>
      <c r="L8" s="5"/>
      <c r="M8" s="7"/>
      <c r="N8" s="5">
        <v>607790</v>
      </c>
      <c r="O8" s="7">
        <v>130.06</v>
      </c>
      <c r="P8" s="7">
        <f t="shared" si="5"/>
        <v>7.6876963455890595</v>
      </c>
      <c r="Q8" t="s">
        <v>23</v>
      </c>
      <c r="R8" t="s">
        <v>129</v>
      </c>
      <c r="S8" s="8">
        <f t="shared" si="2"/>
        <v>137.74769634558905</v>
      </c>
      <c r="T8" s="8">
        <f t="shared" si="3"/>
        <v>1.3767885691713049</v>
      </c>
      <c r="U8" s="8">
        <f t="shared" si="0"/>
        <v>1.4748147360341439</v>
      </c>
      <c r="V8" s="8">
        <f t="shared" si="6"/>
        <v>13.613556862055857</v>
      </c>
      <c r="W8" s="4">
        <f t="shared" si="7"/>
        <v>17.008500000000002</v>
      </c>
      <c r="X8" s="12">
        <f t="shared" si="4"/>
        <v>12.522324027007194</v>
      </c>
      <c r="Y8" s="8">
        <f t="shared" si="8"/>
        <v>180.89207723465208</v>
      </c>
      <c r="Z8" s="9">
        <f t="shared" si="1"/>
        <v>4.2536919203274258E-2</v>
      </c>
      <c r="AA8" s="8">
        <f>J8-Y8</f>
        <v>4071.6979227653483</v>
      </c>
    </row>
    <row r="9" spans="1:28" x14ac:dyDescent="0.25">
      <c r="A9">
        <v>1</v>
      </c>
      <c r="B9" t="s">
        <v>14</v>
      </c>
      <c r="C9" t="s">
        <v>12</v>
      </c>
      <c r="D9" t="s">
        <v>209</v>
      </c>
      <c r="E9">
        <v>20881</v>
      </c>
      <c r="F9" t="s">
        <v>184</v>
      </c>
      <c r="G9">
        <v>24595</v>
      </c>
      <c r="H9" s="3">
        <v>93</v>
      </c>
      <c r="I9" s="3">
        <v>86</v>
      </c>
      <c r="J9" s="3">
        <v>3918.15</v>
      </c>
      <c r="K9" s="2">
        <v>46114</v>
      </c>
      <c r="L9" s="5"/>
      <c r="M9" s="7"/>
      <c r="N9" s="5">
        <v>607791</v>
      </c>
      <c r="O9" s="7">
        <v>120.9</v>
      </c>
      <c r="P9" s="7">
        <f t="shared" si="5"/>
        <v>7.1459846090932784</v>
      </c>
      <c r="Q9" t="s">
        <v>54</v>
      </c>
      <c r="R9" t="s">
        <v>138</v>
      </c>
      <c r="S9" s="8">
        <f t="shared" si="2"/>
        <v>128.0459846090933</v>
      </c>
      <c r="T9" s="8">
        <f t="shared" si="3"/>
        <v>1.3768385441837989</v>
      </c>
      <c r="U9" s="8">
        <f t="shared" si="0"/>
        <v>1.4889067977801547</v>
      </c>
      <c r="V9" s="8">
        <f t="shared" si="6"/>
        <v>12.654280741341276</v>
      </c>
      <c r="W9" s="4">
        <f t="shared" si="7"/>
        <v>15.81</v>
      </c>
      <c r="X9" s="12">
        <f t="shared" si="4"/>
        <v>11.639941374429478</v>
      </c>
      <c r="Y9" s="8">
        <f t="shared" si="8"/>
        <v>168.15020672486403</v>
      </c>
      <c r="Z9" s="9">
        <f t="shared" si="1"/>
        <v>4.2915714488946065E-2</v>
      </c>
      <c r="AA9" s="8">
        <f>J9-Y9</f>
        <v>3749.9997932751362</v>
      </c>
    </row>
    <row r="10" spans="1:28" x14ac:dyDescent="0.25">
      <c r="A10">
        <v>1</v>
      </c>
      <c r="B10" t="s">
        <v>14</v>
      </c>
      <c r="C10" t="s">
        <v>12</v>
      </c>
      <c r="D10" t="s">
        <v>209</v>
      </c>
      <c r="E10">
        <v>20882</v>
      </c>
      <c r="F10" t="s">
        <v>178</v>
      </c>
      <c r="G10">
        <v>24596</v>
      </c>
      <c r="H10" s="3">
        <v>93</v>
      </c>
      <c r="I10" s="3">
        <v>86</v>
      </c>
      <c r="J10" s="3">
        <v>3905.6</v>
      </c>
      <c r="K10" s="2">
        <v>46114</v>
      </c>
      <c r="L10" s="5"/>
      <c r="M10" s="7"/>
      <c r="N10" s="5">
        <v>607792</v>
      </c>
      <c r="O10" s="7">
        <v>120.9</v>
      </c>
      <c r="P10" s="7">
        <f t="shared" si="5"/>
        <v>7.1459846090932784</v>
      </c>
      <c r="Q10" t="s">
        <v>59</v>
      </c>
      <c r="R10" t="s">
        <v>138</v>
      </c>
      <c r="S10" s="8">
        <f t="shared" si="2"/>
        <v>128.0459846090933</v>
      </c>
      <c r="T10" s="8">
        <f t="shared" si="3"/>
        <v>1.3768385441837989</v>
      </c>
      <c r="U10" s="8">
        <f t="shared" si="0"/>
        <v>1.4889067977801547</v>
      </c>
      <c r="V10" s="8">
        <f t="shared" si="6"/>
        <v>12.654280741341276</v>
      </c>
      <c r="W10" s="4">
        <f t="shared" si="7"/>
        <v>15.81</v>
      </c>
      <c r="X10" s="12">
        <f t="shared" si="4"/>
        <v>11.639941374429478</v>
      </c>
      <c r="Y10" s="8">
        <f t="shared" si="8"/>
        <v>168.15020672486403</v>
      </c>
      <c r="Z10" s="9">
        <f t="shared" si="1"/>
        <v>4.3053617043441225E-2</v>
      </c>
      <c r="AA10" s="8">
        <f>J10-Y10</f>
        <v>3737.449793275136</v>
      </c>
    </row>
    <row r="11" spans="1:28" x14ac:dyDescent="0.25">
      <c r="A11">
        <v>1</v>
      </c>
      <c r="B11" t="s">
        <v>14</v>
      </c>
      <c r="C11" t="s">
        <v>18</v>
      </c>
      <c r="D11" t="s">
        <v>206</v>
      </c>
      <c r="E11">
        <v>20883</v>
      </c>
      <c r="F11" t="s">
        <v>181</v>
      </c>
      <c r="G11">
        <v>24615</v>
      </c>
      <c r="H11" s="3">
        <v>2702.8</v>
      </c>
      <c r="I11" s="3">
        <v>2455</v>
      </c>
      <c r="J11" s="3">
        <v>20348.34</v>
      </c>
      <c r="K11" s="2">
        <v>46114</v>
      </c>
      <c r="L11" s="5"/>
      <c r="M11" s="7"/>
      <c r="N11" s="5">
        <v>610717</v>
      </c>
      <c r="O11" s="7">
        <v>747.73773295440185</v>
      </c>
      <c r="P11" s="7"/>
      <c r="Q11" t="s">
        <v>19</v>
      </c>
      <c r="R11" t="s">
        <v>206</v>
      </c>
      <c r="S11" s="8">
        <f t="shared" si="2"/>
        <v>747.73773295440185</v>
      </c>
      <c r="T11" s="8">
        <f t="shared" si="3"/>
        <v>0.27665300168506801</v>
      </c>
      <c r="U11" s="8">
        <f t="shared" si="0"/>
        <v>0.30457748796513312</v>
      </c>
      <c r="V11" s="8"/>
      <c r="X11" s="12">
        <f t="shared" si="4"/>
        <v>0</v>
      </c>
      <c r="Y11" s="8">
        <v>0</v>
      </c>
      <c r="Z11" s="9">
        <f t="shared" si="1"/>
        <v>0</v>
      </c>
      <c r="AA11" s="8">
        <f>J11-Y11</f>
        <v>20348.34</v>
      </c>
    </row>
    <row r="12" spans="1:28" x14ac:dyDescent="0.25">
      <c r="A12">
        <v>1</v>
      </c>
      <c r="B12" t="s">
        <v>14</v>
      </c>
      <c r="C12" t="s">
        <v>18</v>
      </c>
      <c r="D12" t="s">
        <v>206</v>
      </c>
      <c r="E12">
        <v>20884</v>
      </c>
      <c r="F12" t="s">
        <v>181</v>
      </c>
      <c r="G12">
        <v>24616</v>
      </c>
      <c r="H12" s="3">
        <v>416.5</v>
      </c>
      <c r="I12" s="3">
        <v>392</v>
      </c>
      <c r="J12" s="3">
        <v>3178</v>
      </c>
      <c r="K12" s="2">
        <v>46114</v>
      </c>
      <c r="L12" s="5"/>
      <c r="M12" s="7"/>
      <c r="N12" s="5">
        <v>610717</v>
      </c>
      <c r="O12" s="7">
        <v>115.22597520183082</v>
      </c>
      <c r="P12" s="7"/>
      <c r="Q12" t="s">
        <v>19</v>
      </c>
      <c r="R12" t="s">
        <v>206</v>
      </c>
      <c r="S12" s="8">
        <f t="shared" si="2"/>
        <v>115.22597520183082</v>
      </c>
      <c r="T12" s="8">
        <f t="shared" si="3"/>
        <v>0.27665300168506801</v>
      </c>
      <c r="U12" s="8">
        <f t="shared" si="0"/>
        <v>0.29394381429038474</v>
      </c>
      <c r="V12" s="8"/>
      <c r="X12" s="12">
        <f t="shared" si="4"/>
        <v>0</v>
      </c>
      <c r="Y12" s="8">
        <v>0</v>
      </c>
      <c r="Z12" s="9">
        <f t="shared" si="1"/>
        <v>0</v>
      </c>
      <c r="AA12" s="8">
        <f>J12-Y12</f>
        <v>3178</v>
      </c>
    </row>
    <row r="13" spans="1:28" x14ac:dyDescent="0.25">
      <c r="A13">
        <v>2</v>
      </c>
      <c r="B13" t="s">
        <v>14</v>
      </c>
      <c r="C13" t="s">
        <v>37</v>
      </c>
      <c r="D13" t="s">
        <v>209</v>
      </c>
      <c r="E13">
        <v>3143</v>
      </c>
      <c r="F13" t="s">
        <v>180</v>
      </c>
      <c r="G13">
        <v>24667</v>
      </c>
      <c r="H13" s="3">
        <v>3929.5</v>
      </c>
      <c r="I13" s="3">
        <v>3772</v>
      </c>
      <c r="J13" s="3">
        <v>43619.199999999997</v>
      </c>
      <c r="K13" s="2">
        <v>46119</v>
      </c>
      <c r="L13" s="5">
        <v>28</v>
      </c>
      <c r="M13" s="7">
        <v>859.84682713347729</v>
      </c>
      <c r="N13" s="5"/>
      <c r="O13" s="7"/>
      <c r="P13" s="7"/>
      <c r="Q13" t="s">
        <v>38</v>
      </c>
      <c r="R13" t="s">
        <v>17</v>
      </c>
      <c r="S13" s="8">
        <f t="shared" si="2"/>
        <v>859.84682713347729</v>
      </c>
      <c r="T13" s="8">
        <f t="shared" si="3"/>
        <v>0.21881838074398199</v>
      </c>
      <c r="U13" s="8">
        <f t="shared" si="0"/>
        <v>0.22795515035351996</v>
      </c>
      <c r="V13" s="8"/>
      <c r="X13" s="12">
        <f t="shared" si="4"/>
        <v>491.8188132346304</v>
      </c>
      <c r="Y13" s="8">
        <f t="shared" si="8"/>
        <v>1351.6656403681077</v>
      </c>
      <c r="Z13" s="9">
        <f t="shared" si="1"/>
        <v>3.0987859483165847E-2</v>
      </c>
      <c r="AA13" s="8">
        <f>J13-Y13</f>
        <v>42267.534359631893</v>
      </c>
    </row>
    <row r="14" spans="1:28" ht="14.25" customHeight="1" x14ac:dyDescent="0.25">
      <c r="A14">
        <v>2</v>
      </c>
      <c r="B14" t="s">
        <v>14</v>
      </c>
      <c r="C14" t="s">
        <v>37</v>
      </c>
      <c r="D14" t="s">
        <v>209</v>
      </c>
      <c r="E14">
        <v>3144</v>
      </c>
      <c r="F14" t="s">
        <v>180</v>
      </c>
      <c r="G14">
        <v>24668</v>
      </c>
      <c r="H14" s="3">
        <v>1097.5</v>
      </c>
      <c r="I14" s="3">
        <v>1024</v>
      </c>
      <c r="J14" s="3">
        <v>14628.5</v>
      </c>
      <c r="K14" s="2">
        <v>46119</v>
      </c>
      <c r="L14" s="5">
        <v>28</v>
      </c>
      <c r="M14" s="7">
        <v>240.15317286652024</v>
      </c>
      <c r="N14" s="5"/>
      <c r="O14" s="7"/>
      <c r="P14" s="7"/>
      <c r="Q14" t="s">
        <v>38</v>
      </c>
      <c r="R14" t="s">
        <v>17</v>
      </c>
      <c r="S14" s="8">
        <f t="shared" si="2"/>
        <v>240.15317286652024</v>
      </c>
      <c r="T14" s="8">
        <f t="shared" si="3"/>
        <v>0.21881838074398199</v>
      </c>
      <c r="U14" s="8">
        <f t="shared" si="0"/>
        <v>0.23452458287746117</v>
      </c>
      <c r="V14" s="8"/>
      <c r="X14" s="12">
        <f t="shared" si="4"/>
        <v>137.36382428426185</v>
      </c>
      <c r="Y14" s="8">
        <f t="shared" si="8"/>
        <v>377.51699715078212</v>
      </c>
      <c r="Z14" s="9">
        <f t="shared" si="1"/>
        <v>2.5806951987611997E-2</v>
      </c>
      <c r="AA14" s="8">
        <f>J14-Y14</f>
        <v>14250.983002849218</v>
      </c>
    </row>
    <row r="15" spans="1:28" x14ac:dyDescent="0.25">
      <c r="A15">
        <v>1</v>
      </c>
      <c r="B15" t="s">
        <v>14</v>
      </c>
      <c r="C15" t="s">
        <v>208</v>
      </c>
      <c r="D15" t="s">
        <v>210</v>
      </c>
      <c r="E15">
        <v>20886</v>
      </c>
      <c r="F15" t="s">
        <v>181</v>
      </c>
      <c r="G15">
        <v>24670</v>
      </c>
      <c r="H15" s="3">
        <v>22.3</v>
      </c>
      <c r="I15" s="3">
        <v>21.6</v>
      </c>
      <c r="J15" s="3">
        <v>211.22</v>
      </c>
      <c r="K15" s="2">
        <v>46119</v>
      </c>
      <c r="L15" s="5" t="s">
        <v>99</v>
      </c>
      <c r="M15" s="7"/>
      <c r="N15" s="5"/>
      <c r="O15" s="7"/>
      <c r="P15" s="7">
        <f t="shared" ref="P15:P16" si="9">0.0768385441837987*H15</f>
        <v>1.713499535298711</v>
      </c>
      <c r="Q15" t="s">
        <v>88</v>
      </c>
      <c r="R15" t="s">
        <v>17</v>
      </c>
      <c r="S15" s="8">
        <f t="shared" si="2"/>
        <v>1.713499535298711</v>
      </c>
      <c r="T15" s="8">
        <f t="shared" si="3"/>
        <v>7.6838544183798693E-2</v>
      </c>
      <c r="U15" s="8">
        <f t="shared" si="0"/>
        <v>7.932868218975514E-2</v>
      </c>
      <c r="V15" s="8">
        <f t="shared" ref="V15:V17" si="10">H15*0.136067534853132</f>
        <v>3.0343060272248437</v>
      </c>
      <c r="W15" s="4">
        <f>H15*0.17</f>
        <v>3.7910000000000004</v>
      </c>
      <c r="X15" s="12">
        <f t="shared" si="4"/>
        <v>2.7910827166642727</v>
      </c>
      <c r="Y15" s="8">
        <f t="shared" si="8"/>
        <v>11.329888279187827</v>
      </c>
      <c r="Z15" s="9">
        <f t="shared" si="1"/>
        <v>5.364022478547404E-2</v>
      </c>
      <c r="AA15" s="8">
        <f>J15-Y15</f>
        <v>199.89011172081217</v>
      </c>
    </row>
    <row r="16" spans="1:28" x14ac:dyDescent="0.25">
      <c r="A16">
        <v>2</v>
      </c>
      <c r="B16" t="s">
        <v>14</v>
      </c>
      <c r="C16" t="s">
        <v>202</v>
      </c>
      <c r="D16" t="s">
        <v>209</v>
      </c>
      <c r="E16">
        <v>3145</v>
      </c>
      <c r="F16" t="s">
        <v>184</v>
      </c>
      <c r="G16">
        <v>24721</v>
      </c>
      <c r="H16" s="3">
        <v>292</v>
      </c>
      <c r="I16" s="3">
        <v>271</v>
      </c>
      <c r="J16" s="3">
        <v>3870.95</v>
      </c>
      <c r="K16" s="2">
        <v>46120</v>
      </c>
      <c r="L16" s="5" t="s">
        <v>99</v>
      </c>
      <c r="M16" s="7"/>
      <c r="N16" s="5"/>
      <c r="O16" s="7"/>
      <c r="P16" s="7">
        <f t="shared" si="9"/>
        <v>22.436854901669218</v>
      </c>
      <c r="Q16" t="s">
        <v>79</v>
      </c>
      <c r="R16" t="s">
        <v>17</v>
      </c>
      <c r="S16" s="8">
        <f t="shared" si="2"/>
        <v>22.436854901669218</v>
      </c>
      <c r="T16" s="8">
        <f t="shared" si="3"/>
        <v>7.6838544183798693E-2</v>
      </c>
      <c r="U16" s="8">
        <f t="shared" si="0"/>
        <v>8.279282251538457E-2</v>
      </c>
      <c r="V16" s="8">
        <f t="shared" si="10"/>
        <v>39.731720177114546</v>
      </c>
      <c r="W16" s="4">
        <f>H16*0.17</f>
        <v>49.64</v>
      </c>
      <c r="X16" s="12">
        <f t="shared" si="4"/>
        <v>36.546912702509758</v>
      </c>
      <c r="Y16" s="8">
        <f t="shared" si="8"/>
        <v>148.3554877812935</v>
      </c>
      <c r="Z16" s="9">
        <f t="shared" si="1"/>
        <v>3.8325343334657772E-2</v>
      </c>
      <c r="AA16" s="8">
        <f>J16-Y16</f>
        <v>3722.5945122187063</v>
      </c>
    </row>
    <row r="17" spans="1:27" x14ac:dyDescent="0.25">
      <c r="A17">
        <v>2</v>
      </c>
      <c r="B17" t="s">
        <v>14</v>
      </c>
      <c r="C17" t="s">
        <v>207</v>
      </c>
      <c r="D17" t="s">
        <v>210</v>
      </c>
      <c r="E17">
        <v>3147</v>
      </c>
      <c r="F17" t="s">
        <v>181</v>
      </c>
      <c r="G17">
        <v>24726</v>
      </c>
      <c r="H17" s="3">
        <v>27.95</v>
      </c>
      <c r="I17" s="3">
        <v>26.2</v>
      </c>
      <c r="J17" s="3">
        <v>213.02</v>
      </c>
      <c r="K17" s="2">
        <v>46120</v>
      </c>
      <c r="L17" s="5" t="s">
        <v>99</v>
      </c>
      <c r="M17" s="7"/>
      <c r="N17" s="5"/>
      <c r="O17" s="7"/>
      <c r="P17" s="7">
        <f>0.0768385441837987*H17</f>
        <v>2.1476373099371733</v>
      </c>
      <c r="Q17" t="s">
        <v>100</v>
      </c>
      <c r="R17" t="s">
        <v>17</v>
      </c>
      <c r="S17" s="8">
        <f t="shared" si="2"/>
        <v>2.1476373099371733</v>
      </c>
      <c r="T17" s="8">
        <f t="shared" si="3"/>
        <v>7.6838544183798693E-2</v>
      </c>
      <c r="U17" s="8">
        <f t="shared" si="0"/>
        <v>8.197088969225852E-2</v>
      </c>
      <c r="V17" s="8">
        <f t="shared" si="10"/>
        <v>3.8030875991450395</v>
      </c>
      <c r="W17" s="4">
        <f>H17*0.17</f>
        <v>4.7515000000000001</v>
      </c>
      <c r="X17" s="12">
        <f t="shared" si="4"/>
        <v>3.4982404453258482</v>
      </c>
      <c r="Y17" s="8">
        <f t="shared" si="8"/>
        <v>14.200465354408061</v>
      </c>
      <c r="Z17" s="9">
        <f t="shared" si="1"/>
        <v>6.6662592030833065E-2</v>
      </c>
      <c r="AA17" s="8">
        <f>J17-Y17</f>
        <v>198.81953464559194</v>
      </c>
    </row>
    <row r="18" spans="1:27" x14ac:dyDescent="0.25">
      <c r="A18">
        <v>1</v>
      </c>
      <c r="B18" t="s">
        <v>14</v>
      </c>
      <c r="C18" t="s">
        <v>18</v>
      </c>
      <c r="D18" t="s">
        <v>206</v>
      </c>
      <c r="E18">
        <v>20887</v>
      </c>
      <c r="F18" t="s">
        <v>181</v>
      </c>
      <c r="G18">
        <v>24861</v>
      </c>
      <c r="H18" s="3">
        <v>5415.9</v>
      </c>
      <c r="I18" s="3">
        <v>5040</v>
      </c>
      <c r="J18" s="3">
        <v>41184.839999999997</v>
      </c>
      <c r="K18" s="2">
        <v>46122</v>
      </c>
      <c r="L18" s="5"/>
      <c r="M18" s="7"/>
      <c r="N18" s="5">
        <v>610716</v>
      </c>
      <c r="O18" s="7">
        <v>1026.3571367042823</v>
      </c>
      <c r="P18" s="7"/>
      <c r="Q18" t="s">
        <v>19</v>
      </c>
      <c r="R18" t="s">
        <v>206</v>
      </c>
      <c r="S18" s="8">
        <f t="shared" si="2"/>
        <v>1026.3571367042823</v>
      </c>
      <c r="T18" s="8">
        <f t="shared" si="3"/>
        <v>0.189508140236024</v>
      </c>
      <c r="U18" s="8">
        <f t="shared" si="0"/>
        <v>0.20364228902862744</v>
      </c>
      <c r="V18" s="8"/>
      <c r="X18" s="12">
        <f t="shared" si="4"/>
        <v>0</v>
      </c>
      <c r="Y18" s="8">
        <v>0</v>
      </c>
      <c r="Z18" s="9">
        <f t="shared" si="1"/>
        <v>0</v>
      </c>
      <c r="AA18" s="8">
        <f>J18-Y18</f>
        <v>41184.839999999997</v>
      </c>
    </row>
    <row r="19" spans="1:27" x14ac:dyDescent="0.25">
      <c r="A19">
        <v>2</v>
      </c>
      <c r="B19" t="s">
        <v>204</v>
      </c>
      <c r="C19" t="s">
        <v>12</v>
      </c>
      <c r="D19" t="s">
        <v>209</v>
      </c>
      <c r="E19">
        <v>3151</v>
      </c>
      <c r="F19" t="s">
        <v>168</v>
      </c>
      <c r="G19">
        <v>24863</v>
      </c>
      <c r="H19" s="3">
        <v>89.25</v>
      </c>
      <c r="I19" s="3">
        <v>84</v>
      </c>
      <c r="J19" s="3">
        <v>3296.4</v>
      </c>
      <c r="K19" s="2">
        <v>46122</v>
      </c>
      <c r="L19" s="5">
        <v>29</v>
      </c>
      <c r="M19" s="7">
        <v>128.21617894237798</v>
      </c>
      <c r="N19" s="5">
        <v>79438</v>
      </c>
      <c r="O19" s="7">
        <v>421.32</v>
      </c>
      <c r="P19" s="7"/>
      <c r="Q19" t="s">
        <v>147</v>
      </c>
      <c r="R19" t="s">
        <v>65</v>
      </c>
      <c r="S19" s="8">
        <f t="shared" si="2"/>
        <v>549.536178942378</v>
      </c>
      <c r="T19" s="8">
        <f t="shared" si="3"/>
        <v>6.1572681113991932</v>
      </c>
      <c r="U19" s="8">
        <f t="shared" si="0"/>
        <v>6.5420973683616426</v>
      </c>
      <c r="V19" s="8">
        <f t="shared" ref="V19:V44" si="11">H19*0.136067534853132</f>
        <v>12.144027485642031</v>
      </c>
      <c r="W19" s="4">
        <f t="shared" ref="W19:W44" si="12">H19*0.17</f>
        <v>15.172500000000001</v>
      </c>
      <c r="X19" s="12">
        <f t="shared" si="4"/>
        <v>11.170588899654096</v>
      </c>
      <c r="Y19" s="8">
        <f t="shared" si="8"/>
        <v>588.02329532767419</v>
      </c>
      <c r="Z19" s="9">
        <f t="shared" si="1"/>
        <v>0.17838347752932721</v>
      </c>
      <c r="AA19" s="8">
        <f>J19-Y19</f>
        <v>2708.376704672326</v>
      </c>
    </row>
    <row r="20" spans="1:27" x14ac:dyDescent="0.25">
      <c r="A20">
        <v>2</v>
      </c>
      <c r="B20" t="s">
        <v>204</v>
      </c>
      <c r="C20" t="s">
        <v>12</v>
      </c>
      <c r="D20" t="s">
        <v>209</v>
      </c>
      <c r="E20">
        <v>3152</v>
      </c>
      <c r="F20" t="s">
        <v>168</v>
      </c>
      <c r="G20">
        <v>24864</v>
      </c>
      <c r="H20" s="3">
        <v>89.25</v>
      </c>
      <c r="I20" s="3">
        <v>84</v>
      </c>
      <c r="J20" s="3">
        <v>3302.1</v>
      </c>
      <c r="K20" s="2">
        <v>46122</v>
      </c>
      <c r="L20" s="5">
        <v>29</v>
      </c>
      <c r="M20" s="7">
        <v>128.21617894237798</v>
      </c>
      <c r="N20" s="5">
        <v>79436</v>
      </c>
      <c r="O20" s="7">
        <v>421.36</v>
      </c>
      <c r="P20" s="7"/>
      <c r="Q20" t="s">
        <v>140</v>
      </c>
      <c r="R20" t="s">
        <v>65</v>
      </c>
      <c r="S20" s="8">
        <f t="shared" si="2"/>
        <v>549.57617894237796</v>
      </c>
      <c r="T20" s="8">
        <f t="shared" si="3"/>
        <v>6.1577162906709013</v>
      </c>
      <c r="U20" s="8">
        <f t="shared" si="0"/>
        <v>6.5425735588378329</v>
      </c>
      <c r="V20" s="8">
        <f t="shared" si="11"/>
        <v>12.144027485642031</v>
      </c>
      <c r="W20" s="4">
        <f t="shared" si="12"/>
        <v>15.172500000000001</v>
      </c>
      <c r="X20" s="12">
        <f t="shared" si="4"/>
        <v>11.170588899654096</v>
      </c>
      <c r="Y20" s="8">
        <f t="shared" si="8"/>
        <v>588.06329532767415</v>
      </c>
      <c r="Z20" s="9">
        <f t="shared" si="1"/>
        <v>0.17808767006682844</v>
      </c>
      <c r="AA20" s="8">
        <f>J20-Y20</f>
        <v>2714.0367046723259</v>
      </c>
    </row>
    <row r="21" spans="1:27" x14ac:dyDescent="0.25">
      <c r="A21">
        <v>2</v>
      </c>
      <c r="B21" t="s">
        <v>204</v>
      </c>
      <c r="C21" t="s">
        <v>12</v>
      </c>
      <c r="D21" t="s">
        <v>209</v>
      </c>
      <c r="E21">
        <v>3153</v>
      </c>
      <c r="F21" t="s">
        <v>166</v>
      </c>
      <c r="G21">
        <v>24865</v>
      </c>
      <c r="H21" s="3">
        <v>113.05</v>
      </c>
      <c r="I21" s="3">
        <v>106.4</v>
      </c>
      <c r="J21" s="3">
        <v>4447.55</v>
      </c>
      <c r="K21" s="2">
        <v>46122</v>
      </c>
      <c r="L21" s="5">
        <v>29</v>
      </c>
      <c r="M21" s="7">
        <v>162.40715999367879</v>
      </c>
      <c r="N21" s="5">
        <v>79428</v>
      </c>
      <c r="O21" s="7">
        <v>485.35</v>
      </c>
      <c r="P21" s="7"/>
      <c r="Q21" t="s">
        <v>119</v>
      </c>
      <c r="R21" t="s">
        <v>65</v>
      </c>
      <c r="S21" s="8">
        <f t="shared" si="2"/>
        <v>647.75715999367878</v>
      </c>
      <c r="T21" s="8">
        <f t="shared" si="3"/>
        <v>5.7298289251983974</v>
      </c>
      <c r="U21" s="8">
        <f t="shared" si="0"/>
        <v>6.0879432330232968</v>
      </c>
      <c r="V21" s="8">
        <f t="shared" si="11"/>
        <v>15.382434815146572</v>
      </c>
      <c r="W21" s="4">
        <f t="shared" si="12"/>
        <v>19.218500000000002</v>
      </c>
      <c r="X21" s="12">
        <f t="shared" si="4"/>
        <v>14.14941260622852</v>
      </c>
      <c r="Y21" s="8">
        <f t="shared" si="8"/>
        <v>696.50750741505385</v>
      </c>
      <c r="Z21" s="9">
        <f t="shared" si="1"/>
        <v>0.15660476159122524</v>
      </c>
      <c r="AA21" s="8">
        <f>J21-Y21</f>
        <v>3751.0424925849466</v>
      </c>
    </row>
    <row r="22" spans="1:27" x14ac:dyDescent="0.25">
      <c r="A22">
        <v>2</v>
      </c>
      <c r="B22" t="s">
        <v>204</v>
      </c>
      <c r="C22" t="s">
        <v>12</v>
      </c>
      <c r="D22" t="s">
        <v>209</v>
      </c>
      <c r="E22">
        <v>3154</v>
      </c>
      <c r="F22" t="s">
        <v>170</v>
      </c>
      <c r="G22">
        <v>24866</v>
      </c>
      <c r="H22" s="3">
        <v>89.25</v>
      </c>
      <c r="I22" s="3">
        <v>84</v>
      </c>
      <c r="J22" s="3">
        <v>3519.75</v>
      </c>
      <c r="K22" s="2">
        <v>46122</v>
      </c>
      <c r="L22" s="5">
        <v>29</v>
      </c>
      <c r="M22" s="7">
        <v>128.21617894237798</v>
      </c>
      <c r="N22" s="5">
        <v>79355</v>
      </c>
      <c r="O22" s="7">
        <v>422.66</v>
      </c>
      <c r="P22" s="7"/>
      <c r="Q22" t="s">
        <v>66</v>
      </c>
      <c r="R22" t="s">
        <v>65</v>
      </c>
      <c r="S22" s="8">
        <f t="shared" si="2"/>
        <v>550.87617894237803</v>
      </c>
      <c r="T22" s="8">
        <f t="shared" si="3"/>
        <v>6.1722821170014344</v>
      </c>
      <c r="U22" s="8">
        <f t="shared" si="0"/>
        <v>6.5580497493140246</v>
      </c>
      <c r="V22" s="8">
        <f t="shared" si="11"/>
        <v>12.144027485642031</v>
      </c>
      <c r="W22" s="4">
        <f t="shared" si="12"/>
        <v>15.172500000000001</v>
      </c>
      <c r="X22" s="12">
        <f t="shared" si="4"/>
        <v>11.170588899654096</v>
      </c>
      <c r="Y22" s="8">
        <f t="shared" si="8"/>
        <v>589.36329532767422</v>
      </c>
      <c r="Z22" s="9">
        <f t="shared" si="1"/>
        <v>0.1674446467299309</v>
      </c>
      <c r="AA22" s="8">
        <f>J22-Y22</f>
        <v>2930.3867046723258</v>
      </c>
    </row>
    <row r="23" spans="1:27" x14ac:dyDescent="0.25">
      <c r="A23">
        <v>2</v>
      </c>
      <c r="B23" t="s">
        <v>204</v>
      </c>
      <c r="C23" t="s">
        <v>12</v>
      </c>
      <c r="D23" t="s">
        <v>209</v>
      </c>
      <c r="E23">
        <v>3155</v>
      </c>
      <c r="F23" t="s">
        <v>173</v>
      </c>
      <c r="G23">
        <v>24867</v>
      </c>
      <c r="H23" s="3">
        <v>71.400000000000006</v>
      </c>
      <c r="I23" s="3">
        <v>67.2</v>
      </c>
      <c r="J23" s="3">
        <v>2636</v>
      </c>
      <c r="K23" s="2">
        <v>46122</v>
      </c>
      <c r="L23" s="5">
        <v>29</v>
      </c>
      <c r="M23" s="7">
        <v>102.5729431539024</v>
      </c>
      <c r="N23" s="5">
        <v>79442</v>
      </c>
      <c r="O23" s="7">
        <v>417.36</v>
      </c>
      <c r="P23" s="7"/>
      <c r="Q23" t="s">
        <v>122</v>
      </c>
      <c r="R23" t="s">
        <v>65</v>
      </c>
      <c r="S23" s="8">
        <f t="shared" si="2"/>
        <v>519.93294315390244</v>
      </c>
      <c r="T23" s="8">
        <f t="shared" si="3"/>
        <v>7.2819739937521346</v>
      </c>
      <c r="U23" s="8">
        <f t="shared" si="0"/>
        <v>7.7370973683616429</v>
      </c>
      <c r="V23" s="8">
        <f t="shared" si="11"/>
        <v>9.7152219885136262</v>
      </c>
      <c r="W23" s="4">
        <f t="shared" si="12"/>
        <v>12.138000000000002</v>
      </c>
      <c r="X23" s="12">
        <f t="shared" si="4"/>
        <v>8.9364711197232776</v>
      </c>
      <c r="Y23" s="8">
        <f t="shared" si="8"/>
        <v>550.7226362621393</v>
      </c>
      <c r="Z23" s="9">
        <f t="shared" si="1"/>
        <v>0.20892361011462038</v>
      </c>
      <c r="AA23" s="8">
        <f>J23-Y23</f>
        <v>2085.2773637378605</v>
      </c>
    </row>
    <row r="24" spans="1:27" x14ac:dyDescent="0.25">
      <c r="A24">
        <v>2</v>
      </c>
      <c r="B24" t="s">
        <v>204</v>
      </c>
      <c r="C24" t="s">
        <v>12</v>
      </c>
      <c r="D24" t="s">
        <v>209</v>
      </c>
      <c r="E24">
        <v>3156</v>
      </c>
      <c r="F24" t="s">
        <v>173</v>
      </c>
      <c r="G24">
        <v>24868</v>
      </c>
      <c r="H24" s="3">
        <v>59.5</v>
      </c>
      <c r="I24" s="3">
        <v>56</v>
      </c>
      <c r="J24" s="3">
        <v>2197.6</v>
      </c>
      <c r="K24" s="2">
        <v>46122</v>
      </c>
      <c r="L24" s="5">
        <v>29</v>
      </c>
      <c r="M24" s="7">
        <v>85.477452628251996</v>
      </c>
      <c r="N24" s="5">
        <v>79434</v>
      </c>
      <c r="O24" s="7">
        <v>414.72</v>
      </c>
      <c r="P24" s="7"/>
      <c r="Q24" t="s">
        <v>123</v>
      </c>
      <c r="R24" t="s">
        <v>65</v>
      </c>
      <c r="S24" s="8">
        <f t="shared" si="2"/>
        <v>500.19745262825199</v>
      </c>
      <c r="T24" s="8">
        <f t="shared" si="3"/>
        <v>8.4066798761050752</v>
      </c>
      <c r="U24" s="8">
        <f t="shared" si="0"/>
        <v>8.9320973683616423</v>
      </c>
      <c r="V24" s="8">
        <f t="shared" si="11"/>
        <v>8.0960183237613546</v>
      </c>
      <c r="W24" s="4">
        <f t="shared" si="12"/>
        <v>10.115</v>
      </c>
      <c r="X24" s="12">
        <f t="shared" si="4"/>
        <v>7.4470592664360629</v>
      </c>
      <c r="Y24" s="8">
        <f t="shared" si="8"/>
        <v>525.85553021844942</v>
      </c>
      <c r="Z24" s="9">
        <f t="shared" si="1"/>
        <v>0.23928628058720852</v>
      </c>
      <c r="AA24" s="8">
        <f>J24-Y24</f>
        <v>1671.7444697815504</v>
      </c>
    </row>
    <row r="25" spans="1:27" x14ac:dyDescent="0.25">
      <c r="A25">
        <v>2</v>
      </c>
      <c r="B25" t="s">
        <v>204</v>
      </c>
      <c r="C25" t="s">
        <v>12</v>
      </c>
      <c r="D25" t="s">
        <v>209</v>
      </c>
      <c r="E25">
        <v>3157</v>
      </c>
      <c r="F25" t="s">
        <v>168</v>
      </c>
      <c r="G25">
        <v>24869</v>
      </c>
      <c r="H25" s="3">
        <v>113.05</v>
      </c>
      <c r="I25" s="3">
        <v>106.4</v>
      </c>
      <c r="J25" s="3">
        <v>4173.2</v>
      </c>
      <c r="K25" s="2">
        <v>46122</v>
      </c>
      <c r="L25" s="5">
        <v>29</v>
      </c>
      <c r="M25" s="7">
        <v>162.40715999367879</v>
      </c>
      <c r="N25" s="5">
        <v>79432</v>
      </c>
      <c r="O25" s="7">
        <v>483.71</v>
      </c>
      <c r="P25" s="7"/>
      <c r="Q25" t="s">
        <v>148</v>
      </c>
      <c r="R25" t="s">
        <v>65</v>
      </c>
      <c r="S25" s="8">
        <f t="shared" si="2"/>
        <v>646.1171599936788</v>
      </c>
      <c r="T25" s="8">
        <f t="shared" si="3"/>
        <v>5.7153220698246692</v>
      </c>
      <c r="U25" s="8">
        <f t="shared" si="0"/>
        <v>6.0725296991887099</v>
      </c>
      <c r="V25" s="8">
        <f t="shared" si="11"/>
        <v>15.382434815146572</v>
      </c>
      <c r="W25" s="4">
        <f t="shared" si="12"/>
        <v>19.218500000000002</v>
      </c>
      <c r="X25" s="12">
        <f t="shared" si="4"/>
        <v>14.14941260622852</v>
      </c>
      <c r="Y25" s="8">
        <f t="shared" si="8"/>
        <v>694.86750741505386</v>
      </c>
      <c r="Z25" s="9">
        <f t="shared" si="1"/>
        <v>0.16650711861762049</v>
      </c>
      <c r="AA25" s="8">
        <f>J25-Y25</f>
        <v>3478.3324925849461</v>
      </c>
    </row>
    <row r="26" spans="1:27" x14ac:dyDescent="0.25">
      <c r="A26">
        <v>2</v>
      </c>
      <c r="B26" t="s">
        <v>204</v>
      </c>
      <c r="C26" t="s">
        <v>70</v>
      </c>
      <c r="D26" t="s">
        <v>209</v>
      </c>
      <c r="E26">
        <v>3158</v>
      </c>
      <c r="F26" t="s">
        <v>174</v>
      </c>
      <c r="G26">
        <v>24870</v>
      </c>
      <c r="H26" s="3">
        <v>2510.6</v>
      </c>
      <c r="I26" s="3">
        <v>2332.8000000000002</v>
      </c>
      <c r="J26" s="3">
        <v>83620.800000000003</v>
      </c>
      <c r="K26" s="2">
        <v>46122</v>
      </c>
      <c r="L26" s="5">
        <v>29</v>
      </c>
      <c r="M26" s="7">
        <v>3606.7175221594862</v>
      </c>
      <c r="N26" s="5"/>
      <c r="O26" s="7"/>
      <c r="P26" s="7">
        <v>50.43</v>
      </c>
      <c r="Q26" t="s">
        <v>71</v>
      </c>
      <c r="R26" t="s">
        <v>65</v>
      </c>
      <c r="S26" s="8">
        <f t="shared" si="2"/>
        <v>3657.147522159486</v>
      </c>
      <c r="T26" s="8">
        <f t="shared" si="3"/>
        <v>1.4566826743246579</v>
      </c>
      <c r="U26" s="8">
        <f t="shared" si="0"/>
        <v>1.5677072711589017</v>
      </c>
      <c r="V26" s="8">
        <f t="shared" si="11"/>
        <v>341.61115300227317</v>
      </c>
      <c r="W26" s="4">
        <f t="shared" si="12"/>
        <v>426.80200000000002</v>
      </c>
      <c r="X26" s="12">
        <f t="shared" si="4"/>
        <v>314.22835284561984</v>
      </c>
      <c r="Y26" s="8">
        <f t="shared" si="8"/>
        <v>4739.7890280073789</v>
      </c>
      <c r="Z26" s="9">
        <f t="shared" si="1"/>
        <v>5.668193832165417E-2</v>
      </c>
      <c r="AA26" s="8">
        <f>J26-Y26</f>
        <v>78881.010971992626</v>
      </c>
    </row>
    <row r="27" spans="1:27" x14ac:dyDescent="0.25">
      <c r="A27">
        <v>2</v>
      </c>
      <c r="B27" t="s">
        <v>204</v>
      </c>
      <c r="C27" t="s">
        <v>12</v>
      </c>
      <c r="D27" t="s">
        <v>209</v>
      </c>
      <c r="E27">
        <v>3159</v>
      </c>
      <c r="F27" t="s">
        <v>173</v>
      </c>
      <c r="G27">
        <v>24871</v>
      </c>
      <c r="H27" s="3">
        <v>71.400000000000006</v>
      </c>
      <c r="I27" s="3">
        <v>67.2</v>
      </c>
      <c r="J27" s="3">
        <v>2636</v>
      </c>
      <c r="K27" s="2">
        <v>46122</v>
      </c>
      <c r="L27" s="5">
        <v>29</v>
      </c>
      <c r="M27" s="7">
        <v>102.5729431539024</v>
      </c>
      <c r="N27" s="5">
        <v>79430</v>
      </c>
      <c r="O27" s="7">
        <v>417.36</v>
      </c>
      <c r="P27" s="7"/>
      <c r="Q27" t="s">
        <v>124</v>
      </c>
      <c r="R27" t="s">
        <v>65</v>
      </c>
      <c r="S27" s="8">
        <f t="shared" si="2"/>
        <v>519.93294315390244</v>
      </c>
      <c r="T27" s="8">
        <f t="shared" si="3"/>
        <v>7.2819739937521346</v>
      </c>
      <c r="U27" s="8">
        <f t="shared" si="0"/>
        <v>7.7370973683616429</v>
      </c>
      <c r="V27" s="8">
        <f t="shared" si="11"/>
        <v>9.7152219885136262</v>
      </c>
      <c r="W27" s="4">
        <f t="shared" si="12"/>
        <v>12.138000000000002</v>
      </c>
      <c r="X27" s="12">
        <f t="shared" si="4"/>
        <v>8.9364711197232776</v>
      </c>
      <c r="Y27" s="8">
        <f t="shared" si="8"/>
        <v>550.7226362621393</v>
      </c>
      <c r="Z27" s="9">
        <f t="shared" si="1"/>
        <v>0.20892361011462038</v>
      </c>
      <c r="AA27" s="8">
        <f>J27-Y27</f>
        <v>2085.2773637378605</v>
      </c>
    </row>
    <row r="28" spans="1:27" x14ac:dyDescent="0.25">
      <c r="A28">
        <v>2</v>
      </c>
      <c r="B28" t="s">
        <v>204</v>
      </c>
      <c r="C28" t="s">
        <v>12</v>
      </c>
      <c r="D28" t="s">
        <v>209</v>
      </c>
      <c r="E28">
        <v>3160</v>
      </c>
      <c r="F28" t="s">
        <v>170</v>
      </c>
      <c r="G28">
        <v>24872</v>
      </c>
      <c r="H28" s="3">
        <v>89.25</v>
      </c>
      <c r="I28" s="3">
        <v>84</v>
      </c>
      <c r="J28" s="3">
        <v>3519.75</v>
      </c>
      <c r="K28" s="2">
        <v>46122</v>
      </c>
      <c r="L28" s="5">
        <v>29</v>
      </c>
      <c r="M28" s="7">
        <v>128.21617894237798</v>
      </c>
      <c r="N28" s="5">
        <v>79356</v>
      </c>
      <c r="O28" s="7">
        <v>422.66</v>
      </c>
      <c r="P28" s="7"/>
      <c r="Q28" t="s">
        <v>74</v>
      </c>
      <c r="R28" t="s">
        <v>65</v>
      </c>
      <c r="S28" s="8">
        <f t="shared" si="2"/>
        <v>550.87617894237803</v>
      </c>
      <c r="T28" s="8">
        <f t="shared" si="3"/>
        <v>6.1722821170014344</v>
      </c>
      <c r="U28" s="8">
        <f t="shared" si="0"/>
        <v>6.5580497493140246</v>
      </c>
      <c r="V28" s="8">
        <f t="shared" si="11"/>
        <v>12.144027485642031</v>
      </c>
      <c r="W28" s="4">
        <f t="shared" si="12"/>
        <v>15.172500000000001</v>
      </c>
      <c r="X28" s="12">
        <f t="shared" si="4"/>
        <v>11.170588899654096</v>
      </c>
      <c r="Y28" s="8">
        <f t="shared" si="8"/>
        <v>589.36329532767422</v>
      </c>
      <c r="Z28" s="9">
        <f t="shared" si="1"/>
        <v>0.1674446467299309</v>
      </c>
      <c r="AA28" s="8">
        <f>J28-Y28</f>
        <v>2930.3867046723258</v>
      </c>
    </row>
    <row r="29" spans="1:27" x14ac:dyDescent="0.25">
      <c r="A29">
        <v>2</v>
      </c>
      <c r="B29" t="s">
        <v>204</v>
      </c>
      <c r="C29" t="s">
        <v>12</v>
      </c>
      <c r="D29" t="s">
        <v>209</v>
      </c>
      <c r="E29">
        <v>3161</v>
      </c>
      <c r="F29" t="s">
        <v>166</v>
      </c>
      <c r="G29">
        <v>24873</v>
      </c>
      <c r="H29" s="3">
        <v>124.95</v>
      </c>
      <c r="I29" s="3">
        <v>117.6</v>
      </c>
      <c r="J29" s="3">
        <v>4620</v>
      </c>
      <c r="K29" s="2">
        <v>46122</v>
      </c>
      <c r="L29" s="5">
        <v>29</v>
      </c>
      <c r="M29" s="7">
        <v>179.50265051932919</v>
      </c>
      <c r="N29" s="5">
        <v>79440</v>
      </c>
      <c r="O29" s="7">
        <v>519.23</v>
      </c>
      <c r="P29" s="7"/>
      <c r="Q29" t="s">
        <v>78</v>
      </c>
      <c r="R29" t="s">
        <v>65</v>
      </c>
      <c r="S29" s="8">
        <f t="shared" si="2"/>
        <v>698.73265051932924</v>
      </c>
      <c r="T29" s="8">
        <f t="shared" si="3"/>
        <v>5.5920980433719825</v>
      </c>
      <c r="U29" s="8">
        <f t="shared" si="0"/>
        <v>5.9416041710827319</v>
      </c>
      <c r="V29" s="8">
        <f t="shared" si="11"/>
        <v>17.001638479898844</v>
      </c>
      <c r="W29" s="4">
        <f t="shared" si="12"/>
        <v>21.241500000000002</v>
      </c>
      <c r="X29" s="12">
        <f t="shared" si="4"/>
        <v>15.638824459515734</v>
      </c>
      <c r="Y29" s="8">
        <f t="shared" si="8"/>
        <v>752.61461345874375</v>
      </c>
      <c r="Z29" s="9">
        <f t="shared" si="1"/>
        <v>0.16290359598674106</v>
      </c>
      <c r="AA29" s="8">
        <f>J29-Y29</f>
        <v>3867.3853865412561</v>
      </c>
    </row>
    <row r="30" spans="1:27" x14ac:dyDescent="0.25">
      <c r="A30">
        <v>2</v>
      </c>
      <c r="B30" t="s">
        <v>204</v>
      </c>
      <c r="C30" t="s">
        <v>12</v>
      </c>
      <c r="D30" t="s">
        <v>209</v>
      </c>
      <c r="E30">
        <v>3162</v>
      </c>
      <c r="F30" t="s">
        <v>170</v>
      </c>
      <c r="G30">
        <v>24874</v>
      </c>
      <c r="H30" s="3">
        <v>59.5</v>
      </c>
      <c r="I30" s="3">
        <v>56</v>
      </c>
      <c r="J30" s="3">
        <v>2206</v>
      </c>
      <c r="K30" s="2">
        <v>46122</v>
      </c>
      <c r="L30" s="5">
        <v>29</v>
      </c>
      <c r="M30" s="7">
        <v>85.477452628251996</v>
      </c>
      <c r="N30" s="5">
        <v>79357</v>
      </c>
      <c r="O30" s="7">
        <v>414.78</v>
      </c>
      <c r="P30" s="7"/>
      <c r="Q30" t="s">
        <v>77</v>
      </c>
      <c r="R30" t="s">
        <v>65</v>
      </c>
      <c r="S30" s="8">
        <f t="shared" si="2"/>
        <v>500.25745262825194</v>
      </c>
      <c r="T30" s="8">
        <f t="shared" si="3"/>
        <v>8.4076882794664183</v>
      </c>
      <c r="U30" s="8">
        <f t="shared" si="0"/>
        <v>8.9331687969330709</v>
      </c>
      <c r="V30" s="8">
        <f t="shared" si="11"/>
        <v>8.0960183237613546</v>
      </c>
      <c r="W30" s="4">
        <f t="shared" si="12"/>
        <v>10.115</v>
      </c>
      <c r="X30" s="12">
        <f t="shared" si="4"/>
        <v>7.4470592664360629</v>
      </c>
      <c r="Y30" s="8">
        <f t="shared" si="8"/>
        <v>525.91553021844936</v>
      </c>
      <c r="Z30" s="9">
        <f t="shared" si="1"/>
        <v>0.23840232557499971</v>
      </c>
      <c r="AA30" s="8">
        <f>J30-Y30</f>
        <v>1680.0844697815505</v>
      </c>
    </row>
    <row r="31" spans="1:27" x14ac:dyDescent="0.25">
      <c r="A31">
        <v>4</v>
      </c>
      <c r="B31" t="s">
        <v>203</v>
      </c>
      <c r="C31" t="s">
        <v>44</v>
      </c>
      <c r="D31" t="s">
        <v>209</v>
      </c>
      <c r="E31">
        <v>2422</v>
      </c>
      <c r="F31" t="s">
        <v>160</v>
      </c>
      <c r="G31">
        <v>24877</v>
      </c>
      <c r="H31" s="3">
        <v>3154.4</v>
      </c>
      <c r="I31" s="3">
        <v>2863.2</v>
      </c>
      <c r="J31" s="3">
        <v>118348.4</v>
      </c>
      <c r="K31" s="2">
        <v>46122</v>
      </c>
      <c r="L31" s="5">
        <v>30</v>
      </c>
      <c r="M31" s="7">
        <v>7200</v>
      </c>
      <c r="N31" s="5"/>
      <c r="O31" s="7"/>
      <c r="P31" s="7"/>
      <c r="Q31" t="s">
        <v>45</v>
      </c>
      <c r="R31" t="s">
        <v>46</v>
      </c>
      <c r="S31" s="8">
        <f t="shared" si="2"/>
        <v>7200</v>
      </c>
      <c r="T31" s="8">
        <f t="shared" si="3"/>
        <v>2.2825259954349479</v>
      </c>
      <c r="U31" s="8">
        <f t="shared" si="0"/>
        <v>2.5146689019279131</v>
      </c>
      <c r="V31" s="8">
        <f t="shared" si="11"/>
        <v>429.21143194071959</v>
      </c>
      <c r="W31" s="4">
        <f t="shared" si="12"/>
        <v>536.24800000000005</v>
      </c>
      <c r="X31" s="12">
        <f t="shared" si="4"/>
        <v>394.80678571505746</v>
      </c>
      <c r="Y31" s="8">
        <f t="shared" si="8"/>
        <v>8560.2662176557769</v>
      </c>
      <c r="Z31" s="9">
        <f>Y31/J31</f>
        <v>7.2331068418802255E-2</v>
      </c>
      <c r="AA31" s="8">
        <f>J31-Y31</f>
        <v>109788.13378234422</v>
      </c>
    </row>
    <row r="32" spans="1:27" x14ac:dyDescent="0.25">
      <c r="A32">
        <v>2</v>
      </c>
      <c r="B32" t="s">
        <v>14</v>
      </c>
      <c r="C32" t="s">
        <v>33</v>
      </c>
      <c r="D32" t="s">
        <v>209</v>
      </c>
      <c r="E32">
        <v>3163</v>
      </c>
      <c r="F32" t="s">
        <v>175</v>
      </c>
      <c r="G32">
        <v>24878</v>
      </c>
      <c r="H32" s="3">
        <v>165.5</v>
      </c>
      <c r="I32" s="3">
        <v>155</v>
      </c>
      <c r="J32" s="3">
        <v>6715</v>
      </c>
      <c r="K32" s="2">
        <v>46122</v>
      </c>
      <c r="L32" s="5"/>
      <c r="M32" s="7"/>
      <c r="N32" s="5">
        <v>609315</v>
      </c>
      <c r="O32" s="7">
        <v>215.15</v>
      </c>
      <c r="P32" s="7">
        <f t="shared" ref="P32:P44" si="13">0.0768385441837987*H32</f>
        <v>12.716779062418684</v>
      </c>
      <c r="Q32" t="s">
        <v>49</v>
      </c>
      <c r="R32" t="s">
        <v>128</v>
      </c>
      <c r="S32" s="8">
        <f t="shared" si="2"/>
        <v>227.86677906241869</v>
      </c>
      <c r="T32" s="8">
        <f t="shared" si="3"/>
        <v>1.3768385441837987</v>
      </c>
      <c r="U32" s="8">
        <f t="shared" si="0"/>
        <v>1.4701082520156044</v>
      </c>
      <c r="V32" s="8">
        <f t="shared" si="11"/>
        <v>22.519177018193346</v>
      </c>
      <c r="W32" s="4">
        <f t="shared" si="12"/>
        <v>28.135000000000002</v>
      </c>
      <c r="X32" s="12">
        <f t="shared" si="4"/>
        <v>20.714089220086866</v>
      </c>
      <c r="Y32" s="8">
        <f t="shared" si="8"/>
        <v>299.23504530069891</v>
      </c>
      <c r="Z32" s="9">
        <f t="shared" si="1"/>
        <v>4.4562180982978247E-2</v>
      </c>
      <c r="AA32" s="8">
        <f>J32-Y32</f>
        <v>6415.7649546993007</v>
      </c>
    </row>
    <row r="33" spans="1:27" x14ac:dyDescent="0.25">
      <c r="A33">
        <v>2</v>
      </c>
      <c r="B33" t="s">
        <v>14</v>
      </c>
      <c r="C33" t="s">
        <v>31</v>
      </c>
      <c r="D33" t="s">
        <v>209</v>
      </c>
      <c r="E33">
        <v>3164</v>
      </c>
      <c r="F33" t="s">
        <v>178</v>
      </c>
      <c r="G33">
        <v>24879</v>
      </c>
      <c r="H33" s="3">
        <v>182.5</v>
      </c>
      <c r="I33" s="3">
        <v>172</v>
      </c>
      <c r="J33" s="3">
        <v>7507.2</v>
      </c>
      <c r="K33" s="2">
        <v>46122</v>
      </c>
      <c r="L33" s="5"/>
      <c r="M33" s="7"/>
      <c r="N33" s="5">
        <v>609316</v>
      </c>
      <c r="O33" s="7">
        <v>237.25</v>
      </c>
      <c r="P33" s="7">
        <f t="shared" si="13"/>
        <v>14.023034313543262</v>
      </c>
      <c r="Q33" t="s">
        <v>50</v>
      </c>
      <c r="R33" t="s">
        <v>138</v>
      </c>
      <c r="S33" s="8">
        <f t="shared" si="2"/>
        <v>251.27303431354326</v>
      </c>
      <c r="T33" s="8">
        <f t="shared" si="3"/>
        <v>1.3768385441837987</v>
      </c>
      <c r="U33" s="8">
        <f t="shared" si="0"/>
        <v>1.4608897343810654</v>
      </c>
      <c r="V33" s="8">
        <f t="shared" si="11"/>
        <v>24.832325110696591</v>
      </c>
      <c r="W33" s="4">
        <f t="shared" si="12"/>
        <v>31.025000000000002</v>
      </c>
      <c r="X33" s="12">
        <f t="shared" si="4"/>
        <v>22.841820439068599</v>
      </c>
      <c r="Y33" s="8">
        <f t="shared" si="8"/>
        <v>329.97217986330844</v>
      </c>
      <c r="Z33" s="9">
        <f t="shared" si="1"/>
        <v>4.3954094717512313E-2</v>
      </c>
      <c r="AA33" s="8">
        <f>J33-Y33</f>
        <v>7177.2278201366917</v>
      </c>
    </row>
    <row r="34" spans="1:27" x14ac:dyDescent="0.25">
      <c r="A34">
        <v>2</v>
      </c>
      <c r="B34" t="s">
        <v>14</v>
      </c>
      <c r="C34" t="s">
        <v>33</v>
      </c>
      <c r="D34" t="s">
        <v>209</v>
      </c>
      <c r="E34">
        <v>3165</v>
      </c>
      <c r="F34" t="s">
        <v>181</v>
      </c>
      <c r="G34">
        <v>24880</v>
      </c>
      <c r="H34" s="3">
        <v>297.5</v>
      </c>
      <c r="I34" s="3">
        <v>280</v>
      </c>
      <c r="J34" s="3">
        <v>12150</v>
      </c>
      <c r="K34" s="2">
        <v>46122</v>
      </c>
      <c r="L34" s="5"/>
      <c r="M34" s="7"/>
      <c r="N34" s="5">
        <v>609317</v>
      </c>
      <c r="O34" s="7">
        <v>386.75</v>
      </c>
      <c r="P34" s="7">
        <f t="shared" si="13"/>
        <v>22.859466894680111</v>
      </c>
      <c r="Q34" t="s">
        <v>92</v>
      </c>
      <c r="R34" t="s">
        <v>128</v>
      </c>
      <c r="S34" s="8">
        <f t="shared" ref="S34:S65" si="14">SUM(M34+O34+P34)</f>
        <v>409.60946689468011</v>
      </c>
      <c r="T34" s="8">
        <f t="shared" ref="T34:T65" si="15">SUM(M34+O34+P34)/H34</f>
        <v>1.3768385441837987</v>
      </c>
      <c r="U34" s="8">
        <f t="shared" ref="U34:U65" si="16">SUM(M34+O34+P34)/I34</f>
        <v>1.4628909531952861</v>
      </c>
      <c r="V34" s="8">
        <f t="shared" si="11"/>
        <v>40.480091618806767</v>
      </c>
      <c r="W34" s="4">
        <f t="shared" si="12"/>
        <v>50.575000000000003</v>
      </c>
      <c r="X34" s="12">
        <f t="shared" si="4"/>
        <v>37.235296332180319</v>
      </c>
      <c r="Y34" s="8">
        <f t="shared" si="8"/>
        <v>537.89985484566716</v>
      </c>
      <c r="Z34" s="9">
        <f t="shared" ref="Z34:Z65" si="17">Y34/J34</f>
        <v>4.4271592991412936E-2</v>
      </c>
      <c r="AA34" s="8">
        <f t="shared" ref="AA34:AA65" si="18">J34-Y34</f>
        <v>11612.100145154332</v>
      </c>
    </row>
    <row r="35" spans="1:27" x14ac:dyDescent="0.25">
      <c r="A35">
        <v>2</v>
      </c>
      <c r="B35" t="s">
        <v>14</v>
      </c>
      <c r="C35" t="s">
        <v>33</v>
      </c>
      <c r="D35" t="s">
        <v>209</v>
      </c>
      <c r="E35">
        <v>3166</v>
      </c>
      <c r="F35" t="s">
        <v>176</v>
      </c>
      <c r="G35">
        <v>24881</v>
      </c>
      <c r="H35" s="3">
        <v>152.5</v>
      </c>
      <c r="I35" s="3">
        <v>142</v>
      </c>
      <c r="J35" s="3">
        <v>6400</v>
      </c>
      <c r="K35" s="2">
        <v>46122</v>
      </c>
      <c r="L35" s="5"/>
      <c r="M35" s="7"/>
      <c r="N35" s="5">
        <v>609318</v>
      </c>
      <c r="O35" s="7">
        <v>198.25</v>
      </c>
      <c r="P35" s="7">
        <f t="shared" si="13"/>
        <v>11.717877988029301</v>
      </c>
      <c r="Q35" t="s">
        <v>133</v>
      </c>
      <c r="R35" t="s">
        <v>129</v>
      </c>
      <c r="S35" s="8">
        <f t="shared" si="14"/>
        <v>209.9678779880293</v>
      </c>
      <c r="T35" s="8">
        <f t="shared" si="15"/>
        <v>1.3768385441837987</v>
      </c>
      <c r="U35" s="8">
        <f t="shared" si="16"/>
        <v>1.4786470280847135</v>
      </c>
      <c r="V35" s="8">
        <f t="shared" si="11"/>
        <v>20.750299065102631</v>
      </c>
      <c r="W35" s="4">
        <f t="shared" si="12"/>
        <v>25.925000000000001</v>
      </c>
      <c r="X35" s="12">
        <f t="shared" si="4"/>
        <v>19.08700064086554</v>
      </c>
      <c r="Y35" s="8">
        <f t="shared" si="8"/>
        <v>275.73017769399746</v>
      </c>
      <c r="Z35" s="9">
        <f t="shared" si="17"/>
        <v>4.3082840264687103E-2</v>
      </c>
      <c r="AA35" s="8">
        <f t="shared" si="18"/>
        <v>6124.2698223060024</v>
      </c>
    </row>
    <row r="36" spans="1:27" x14ac:dyDescent="0.25">
      <c r="A36">
        <v>1</v>
      </c>
      <c r="B36" t="s">
        <v>14</v>
      </c>
      <c r="C36" t="s">
        <v>12</v>
      </c>
      <c r="D36" t="s">
        <v>209</v>
      </c>
      <c r="E36">
        <v>20888</v>
      </c>
      <c r="F36" t="s">
        <v>159</v>
      </c>
      <c r="G36">
        <v>24884</v>
      </c>
      <c r="H36" s="3">
        <v>152.5</v>
      </c>
      <c r="I36" s="3">
        <v>142</v>
      </c>
      <c r="J36" s="3">
        <v>6466.5</v>
      </c>
      <c r="K36" s="2">
        <v>46122</v>
      </c>
      <c r="L36" s="5"/>
      <c r="M36" s="7"/>
      <c r="N36" s="5">
        <v>609319</v>
      </c>
      <c r="O36" s="7">
        <v>198.25</v>
      </c>
      <c r="P36" s="7">
        <f t="shared" si="13"/>
        <v>11.717877988029301</v>
      </c>
      <c r="Q36" t="s">
        <v>25</v>
      </c>
      <c r="R36" t="s">
        <v>128</v>
      </c>
      <c r="S36" s="8">
        <f t="shared" si="14"/>
        <v>209.9678779880293</v>
      </c>
      <c r="T36" s="8">
        <f t="shared" si="15"/>
        <v>1.3768385441837987</v>
      </c>
      <c r="U36" s="8">
        <f t="shared" si="16"/>
        <v>1.4786470280847135</v>
      </c>
      <c r="V36" s="8">
        <f t="shared" si="11"/>
        <v>20.750299065102631</v>
      </c>
      <c r="W36" s="4">
        <f t="shared" si="12"/>
        <v>25.925000000000001</v>
      </c>
      <c r="X36" s="12">
        <f t="shared" si="4"/>
        <v>19.08700064086554</v>
      </c>
      <c r="Y36" s="8">
        <f t="shared" si="8"/>
        <v>275.73017769399746</v>
      </c>
      <c r="Z36" s="9">
        <f t="shared" si="17"/>
        <v>4.2639786235830431E-2</v>
      </c>
      <c r="AA36" s="8">
        <f t="shared" si="18"/>
        <v>6190.7698223060024</v>
      </c>
    </row>
    <row r="37" spans="1:27" x14ac:dyDescent="0.25">
      <c r="A37">
        <v>1</v>
      </c>
      <c r="B37" t="s">
        <v>14</v>
      </c>
      <c r="C37" t="s">
        <v>12</v>
      </c>
      <c r="D37" t="s">
        <v>209</v>
      </c>
      <c r="E37">
        <v>20889</v>
      </c>
      <c r="F37" t="s">
        <v>181</v>
      </c>
      <c r="G37">
        <v>24885</v>
      </c>
      <c r="H37" s="3">
        <v>225</v>
      </c>
      <c r="I37" s="3">
        <v>211</v>
      </c>
      <c r="J37" s="3">
        <v>9610.4</v>
      </c>
      <c r="K37" s="2">
        <v>46122</v>
      </c>
      <c r="L37" s="5"/>
      <c r="M37" s="7"/>
      <c r="N37" s="5">
        <v>609320</v>
      </c>
      <c r="O37" s="7">
        <v>292.5</v>
      </c>
      <c r="P37" s="7">
        <f t="shared" si="13"/>
        <v>17.288672441354706</v>
      </c>
      <c r="Q37" t="s">
        <v>13</v>
      </c>
      <c r="R37" t="s">
        <v>128</v>
      </c>
      <c r="S37" s="8">
        <f t="shared" si="14"/>
        <v>309.78867244135472</v>
      </c>
      <c r="T37" s="8">
        <f t="shared" si="15"/>
        <v>1.3768385441837987</v>
      </c>
      <c r="U37" s="8">
        <f t="shared" si="16"/>
        <v>1.4681927603855673</v>
      </c>
      <c r="V37" s="8">
        <f t="shared" si="11"/>
        <v>30.615195341954699</v>
      </c>
      <c r="W37" s="4">
        <f t="shared" si="12"/>
        <v>38.25</v>
      </c>
      <c r="X37" s="12">
        <f t="shared" si="4"/>
        <v>28.161148486522929</v>
      </c>
      <c r="Y37" s="8">
        <f t="shared" si="8"/>
        <v>406.81501626983231</v>
      </c>
      <c r="Z37" s="9">
        <f t="shared" si="17"/>
        <v>4.2330705930016685E-2</v>
      </c>
      <c r="AA37" s="8">
        <f t="shared" si="18"/>
        <v>9203.5849837301666</v>
      </c>
    </row>
    <row r="38" spans="1:27" x14ac:dyDescent="0.25">
      <c r="A38">
        <v>1</v>
      </c>
      <c r="B38" t="s">
        <v>14</v>
      </c>
      <c r="C38" t="s">
        <v>12</v>
      </c>
      <c r="D38" t="s">
        <v>209</v>
      </c>
      <c r="E38">
        <v>20890</v>
      </c>
      <c r="F38" t="s">
        <v>184</v>
      </c>
      <c r="G38">
        <v>24886</v>
      </c>
      <c r="H38" s="3">
        <v>33.5</v>
      </c>
      <c r="I38" s="3">
        <v>30</v>
      </c>
      <c r="J38" s="3">
        <v>1369.8</v>
      </c>
      <c r="K38" s="2">
        <v>46122</v>
      </c>
      <c r="L38" s="5"/>
      <c r="M38" s="7"/>
      <c r="N38" s="5">
        <v>609321</v>
      </c>
      <c r="O38" s="7">
        <v>43.55</v>
      </c>
      <c r="P38" s="7">
        <f t="shared" si="13"/>
        <v>2.574091230157256</v>
      </c>
      <c r="Q38" t="s">
        <v>55</v>
      </c>
      <c r="R38" t="s">
        <v>138</v>
      </c>
      <c r="S38" s="8">
        <f t="shared" si="14"/>
        <v>46.124091230157255</v>
      </c>
      <c r="T38" s="8">
        <f t="shared" si="15"/>
        <v>1.3768385441837987</v>
      </c>
      <c r="U38" s="8">
        <f t="shared" si="16"/>
        <v>1.5374697076719086</v>
      </c>
      <c r="V38" s="8">
        <f t="shared" si="11"/>
        <v>4.5582624175799218</v>
      </c>
      <c r="W38" s="4">
        <f t="shared" si="12"/>
        <v>5.6950000000000003</v>
      </c>
      <c r="X38" s="12">
        <f t="shared" si="4"/>
        <v>4.1928821079934133</v>
      </c>
      <c r="Y38" s="8">
        <f t="shared" si="8"/>
        <v>60.570235755730586</v>
      </c>
      <c r="Z38" s="9">
        <f t="shared" si="17"/>
        <v>4.4218306143765942E-2</v>
      </c>
      <c r="AA38" s="8">
        <f t="shared" si="18"/>
        <v>1309.2297642442693</v>
      </c>
    </row>
    <row r="39" spans="1:27" x14ac:dyDescent="0.25">
      <c r="A39">
        <v>1</v>
      </c>
      <c r="B39" t="s">
        <v>14</v>
      </c>
      <c r="C39" t="s">
        <v>12</v>
      </c>
      <c r="D39" t="s">
        <v>209</v>
      </c>
      <c r="E39">
        <v>20891</v>
      </c>
      <c r="F39" t="s">
        <v>178</v>
      </c>
      <c r="G39">
        <v>24887</v>
      </c>
      <c r="H39" s="3">
        <v>106</v>
      </c>
      <c r="I39" s="3">
        <v>99</v>
      </c>
      <c r="J39" s="3">
        <v>4513.7</v>
      </c>
      <c r="K39" s="2">
        <v>46122</v>
      </c>
      <c r="L39" s="5"/>
      <c r="M39" s="7"/>
      <c r="N39" s="5">
        <v>609322</v>
      </c>
      <c r="O39" s="7">
        <v>137.80000000000001</v>
      </c>
      <c r="P39" s="7">
        <f t="shared" si="13"/>
        <v>8.1448856834826611</v>
      </c>
      <c r="Q39" t="s">
        <v>24</v>
      </c>
      <c r="R39" t="s">
        <v>138</v>
      </c>
      <c r="S39" s="8">
        <f t="shared" si="14"/>
        <v>145.94488568348268</v>
      </c>
      <c r="T39" s="8">
        <f t="shared" si="15"/>
        <v>1.3768385441837989</v>
      </c>
      <c r="U39" s="8">
        <f t="shared" si="16"/>
        <v>1.4741907644796231</v>
      </c>
      <c r="V39" s="8">
        <f t="shared" si="11"/>
        <v>14.423158694431992</v>
      </c>
      <c r="W39" s="4">
        <f t="shared" si="12"/>
        <v>18.02</v>
      </c>
      <c r="X39" s="12">
        <f t="shared" si="4"/>
        <v>13.267029953650802</v>
      </c>
      <c r="Y39" s="8">
        <f t="shared" si="8"/>
        <v>191.65507433156549</v>
      </c>
      <c r="Z39" s="9">
        <f t="shared" si="17"/>
        <v>4.2460747132411436E-2</v>
      </c>
      <c r="AA39" s="8">
        <f t="shared" si="18"/>
        <v>4322.0449256684342</v>
      </c>
    </row>
    <row r="40" spans="1:27" x14ac:dyDescent="0.25">
      <c r="A40">
        <v>1</v>
      </c>
      <c r="B40" t="s">
        <v>14</v>
      </c>
      <c r="C40" t="s">
        <v>201</v>
      </c>
      <c r="D40" t="s">
        <v>209</v>
      </c>
      <c r="E40">
        <v>20892</v>
      </c>
      <c r="F40" t="s">
        <v>181</v>
      </c>
      <c r="G40">
        <v>24888</v>
      </c>
      <c r="H40" s="3">
        <v>77.05</v>
      </c>
      <c r="I40" s="3">
        <v>71.8</v>
      </c>
      <c r="J40" s="3">
        <v>3475.97</v>
      </c>
      <c r="K40" s="2">
        <v>46122</v>
      </c>
      <c r="L40" s="5"/>
      <c r="M40" s="7"/>
      <c r="N40" s="5">
        <v>609323</v>
      </c>
      <c r="O40" s="7">
        <v>100.16</v>
      </c>
      <c r="P40" s="7">
        <f t="shared" si="13"/>
        <v>5.9204098293616889</v>
      </c>
      <c r="Q40" t="s">
        <v>149</v>
      </c>
      <c r="R40" t="s">
        <v>128</v>
      </c>
      <c r="S40" s="8">
        <f t="shared" si="14"/>
        <v>106.08040982936168</v>
      </c>
      <c r="T40" s="8">
        <f t="shared" si="15"/>
        <v>1.3767736512571276</v>
      </c>
      <c r="U40" s="8">
        <f t="shared" si="16"/>
        <v>1.477443033835121</v>
      </c>
      <c r="V40" s="8">
        <f t="shared" si="11"/>
        <v>10.48400356043382</v>
      </c>
      <c r="W40" s="4">
        <f t="shared" si="12"/>
        <v>13.0985</v>
      </c>
      <c r="X40" s="12">
        <f t="shared" si="4"/>
        <v>9.6436288483848518</v>
      </c>
      <c r="Y40" s="8">
        <f t="shared" si="8"/>
        <v>139.30654223818036</v>
      </c>
      <c r="Z40" s="9">
        <f t="shared" si="17"/>
        <v>4.0077026625137839E-2</v>
      </c>
      <c r="AA40" s="8">
        <f t="shared" si="18"/>
        <v>3336.6634577618192</v>
      </c>
    </row>
    <row r="41" spans="1:27" x14ac:dyDescent="0.25">
      <c r="A41">
        <v>1</v>
      </c>
      <c r="B41" t="s">
        <v>14</v>
      </c>
      <c r="C41" t="s">
        <v>12</v>
      </c>
      <c r="D41" t="s">
        <v>209</v>
      </c>
      <c r="E41">
        <v>20893</v>
      </c>
      <c r="F41" t="s">
        <v>159</v>
      </c>
      <c r="G41">
        <v>24889</v>
      </c>
      <c r="H41" s="3">
        <v>93</v>
      </c>
      <c r="I41" s="3">
        <v>86</v>
      </c>
      <c r="J41" s="3">
        <v>3905.6</v>
      </c>
      <c r="K41" s="2">
        <v>46122</v>
      </c>
      <c r="L41" s="5"/>
      <c r="M41" s="7"/>
      <c r="N41" s="5">
        <v>609324</v>
      </c>
      <c r="O41" s="7">
        <v>120.9</v>
      </c>
      <c r="P41" s="7">
        <f t="shared" si="13"/>
        <v>7.1459846090932784</v>
      </c>
      <c r="Q41" t="s">
        <v>58</v>
      </c>
      <c r="R41" t="s">
        <v>128</v>
      </c>
      <c r="S41" s="8">
        <f t="shared" si="14"/>
        <v>128.0459846090933</v>
      </c>
      <c r="T41" s="8">
        <f t="shared" si="15"/>
        <v>1.3768385441837989</v>
      </c>
      <c r="U41" s="8">
        <f t="shared" si="16"/>
        <v>1.4889067977801547</v>
      </c>
      <c r="V41" s="8">
        <f t="shared" si="11"/>
        <v>12.654280741341276</v>
      </c>
      <c r="W41" s="4">
        <f t="shared" si="12"/>
        <v>15.81</v>
      </c>
      <c r="X41" s="12">
        <f t="shared" si="4"/>
        <v>11.639941374429478</v>
      </c>
      <c r="Y41" s="8">
        <f t="shared" si="8"/>
        <v>168.15020672486403</v>
      </c>
      <c r="Z41" s="9">
        <f t="shared" si="17"/>
        <v>4.3053617043441225E-2</v>
      </c>
      <c r="AA41" s="8">
        <f t="shared" si="18"/>
        <v>3737.449793275136</v>
      </c>
    </row>
    <row r="42" spans="1:27" x14ac:dyDescent="0.25">
      <c r="A42">
        <v>1</v>
      </c>
      <c r="B42" t="s">
        <v>14</v>
      </c>
      <c r="C42" t="s">
        <v>12</v>
      </c>
      <c r="D42" t="s">
        <v>209</v>
      </c>
      <c r="E42">
        <v>20894</v>
      </c>
      <c r="F42" t="s">
        <v>159</v>
      </c>
      <c r="G42">
        <v>24890</v>
      </c>
      <c r="H42" s="3">
        <v>98.95</v>
      </c>
      <c r="I42" s="3">
        <v>91.6</v>
      </c>
      <c r="J42" s="3">
        <v>4174.24</v>
      </c>
      <c r="K42" s="2">
        <v>46122</v>
      </c>
      <c r="L42" s="5"/>
      <c r="M42" s="7"/>
      <c r="N42" s="5">
        <v>609325</v>
      </c>
      <c r="O42" s="7">
        <v>128.63999999999999</v>
      </c>
      <c r="P42" s="7">
        <f t="shared" si="13"/>
        <v>7.6031739469868809</v>
      </c>
      <c r="Q42" t="s">
        <v>61</v>
      </c>
      <c r="R42" t="s">
        <v>128</v>
      </c>
      <c r="S42" s="8">
        <f t="shared" si="14"/>
        <v>136.24317394698687</v>
      </c>
      <c r="T42" s="8">
        <f t="shared" si="15"/>
        <v>1.3768890747547939</v>
      </c>
      <c r="U42" s="8">
        <f t="shared" si="16"/>
        <v>1.4873708946177606</v>
      </c>
      <c r="V42" s="8">
        <f t="shared" si="11"/>
        <v>13.463882573717411</v>
      </c>
      <c r="W42" s="4">
        <f t="shared" si="12"/>
        <v>16.8215</v>
      </c>
      <c r="X42" s="12">
        <f t="shared" si="4"/>
        <v>12.384647301073084</v>
      </c>
      <c r="Y42" s="8">
        <f t="shared" si="8"/>
        <v>178.91320382177736</v>
      </c>
      <c r="Z42" s="9">
        <f t="shared" si="17"/>
        <v>4.2861264283265303E-2</v>
      </c>
      <c r="AA42" s="8">
        <f t="shared" si="18"/>
        <v>3995.3267961782226</v>
      </c>
    </row>
    <row r="43" spans="1:27" x14ac:dyDescent="0.25">
      <c r="A43">
        <v>1</v>
      </c>
      <c r="B43" t="s">
        <v>14</v>
      </c>
      <c r="C43" t="s">
        <v>12</v>
      </c>
      <c r="D43" t="s">
        <v>209</v>
      </c>
      <c r="E43">
        <v>20895</v>
      </c>
      <c r="F43" t="s">
        <v>159</v>
      </c>
      <c r="G43">
        <v>24891</v>
      </c>
      <c r="H43" s="3">
        <v>63.25</v>
      </c>
      <c r="I43" s="3">
        <v>58</v>
      </c>
      <c r="J43" s="3">
        <v>2637.7</v>
      </c>
      <c r="K43" s="2">
        <v>46122</v>
      </c>
      <c r="L43" s="5"/>
      <c r="M43" s="7"/>
      <c r="N43" s="5">
        <v>609326</v>
      </c>
      <c r="O43" s="7">
        <v>82.22</v>
      </c>
      <c r="P43" s="7">
        <f t="shared" si="13"/>
        <v>4.8600379196252677</v>
      </c>
      <c r="Q43" t="s">
        <v>95</v>
      </c>
      <c r="R43" t="s">
        <v>128</v>
      </c>
      <c r="S43" s="8">
        <f t="shared" si="14"/>
        <v>87.080037919625269</v>
      </c>
      <c r="T43" s="8">
        <f t="shared" si="15"/>
        <v>1.3767594928003994</v>
      </c>
      <c r="U43" s="8">
        <f t="shared" si="16"/>
        <v>1.5013799641314702</v>
      </c>
      <c r="V43" s="8">
        <f t="shared" si="11"/>
        <v>8.6062715794605982</v>
      </c>
      <c r="W43" s="4">
        <f t="shared" si="12"/>
        <v>10.752500000000001</v>
      </c>
      <c r="X43" s="12">
        <f t="shared" si="4"/>
        <v>7.9164117412114452</v>
      </c>
      <c r="Y43" s="8">
        <f t="shared" si="8"/>
        <v>114.35522124029731</v>
      </c>
      <c r="Z43" s="9">
        <f t="shared" si="17"/>
        <v>4.3354142336238889E-2</v>
      </c>
      <c r="AA43" s="8">
        <f t="shared" si="18"/>
        <v>2523.3447787597024</v>
      </c>
    </row>
    <row r="44" spans="1:27" x14ac:dyDescent="0.25">
      <c r="A44">
        <v>1</v>
      </c>
      <c r="B44" t="s">
        <v>14</v>
      </c>
      <c r="C44" t="s">
        <v>15</v>
      </c>
      <c r="D44" t="s">
        <v>209</v>
      </c>
      <c r="E44">
        <v>20896</v>
      </c>
      <c r="F44" t="s">
        <v>191</v>
      </c>
      <c r="G44">
        <v>24895</v>
      </c>
      <c r="H44" s="3">
        <v>123</v>
      </c>
      <c r="I44" s="3">
        <v>116</v>
      </c>
      <c r="J44" s="3">
        <v>1736.5</v>
      </c>
      <c r="K44" s="2">
        <v>46122</v>
      </c>
      <c r="L44" s="5"/>
      <c r="M44" s="7"/>
      <c r="N44" s="5">
        <v>609327</v>
      </c>
      <c r="O44" s="7">
        <v>159.9</v>
      </c>
      <c r="P44" s="7">
        <f t="shared" si="13"/>
        <v>9.4511409346072401</v>
      </c>
      <c r="Q44" t="s">
        <v>16</v>
      </c>
      <c r="R44" t="s">
        <v>17</v>
      </c>
      <c r="S44" s="8">
        <f t="shared" si="14"/>
        <v>169.35114093460726</v>
      </c>
      <c r="T44" s="8">
        <f t="shared" si="15"/>
        <v>1.3768385441837989</v>
      </c>
      <c r="U44" s="8">
        <f t="shared" si="16"/>
        <v>1.4599236287466142</v>
      </c>
      <c r="V44" s="8">
        <f t="shared" si="11"/>
        <v>16.736306786935234</v>
      </c>
      <c r="W44" s="4">
        <f t="shared" si="12"/>
        <v>20.91</v>
      </c>
      <c r="X44" s="12">
        <f t="shared" si="4"/>
        <v>15.394761172632535</v>
      </c>
      <c r="Y44" s="8">
        <f t="shared" si="8"/>
        <v>222.39220889417504</v>
      </c>
      <c r="Z44" s="9">
        <f t="shared" si="17"/>
        <v>0.12806922481668589</v>
      </c>
      <c r="AA44" s="8">
        <f t="shared" si="18"/>
        <v>1514.1077911058251</v>
      </c>
    </row>
    <row r="45" spans="1:27" x14ac:dyDescent="0.25">
      <c r="A45">
        <v>1</v>
      </c>
      <c r="B45" t="s">
        <v>14</v>
      </c>
      <c r="C45" t="s">
        <v>18</v>
      </c>
      <c r="D45" t="s">
        <v>206</v>
      </c>
      <c r="E45">
        <v>20897</v>
      </c>
      <c r="F45" t="s">
        <v>181</v>
      </c>
      <c r="G45">
        <v>24896</v>
      </c>
      <c r="H45" s="3">
        <v>53.6</v>
      </c>
      <c r="I45" s="3">
        <v>48</v>
      </c>
      <c r="J45" s="3">
        <v>401.28</v>
      </c>
      <c r="K45" s="2">
        <v>46122</v>
      </c>
      <c r="L45" s="5"/>
      <c r="M45" s="7"/>
      <c r="N45" s="5">
        <v>610716</v>
      </c>
      <c r="O45" s="7">
        <v>10.157636316650887</v>
      </c>
      <c r="P45" s="7"/>
      <c r="Q45" t="s">
        <v>19</v>
      </c>
      <c r="R45" t="s">
        <v>206</v>
      </c>
      <c r="S45" s="8">
        <f t="shared" si="14"/>
        <v>10.157636316650887</v>
      </c>
      <c r="T45" s="8">
        <f t="shared" si="15"/>
        <v>0.189508140236024</v>
      </c>
      <c r="U45" s="8">
        <f t="shared" si="16"/>
        <v>0.21161742326356014</v>
      </c>
      <c r="V45" s="8"/>
      <c r="X45" s="12">
        <f t="shared" si="4"/>
        <v>0</v>
      </c>
      <c r="Y45" s="8">
        <v>0</v>
      </c>
      <c r="Z45" s="9">
        <f t="shared" si="17"/>
        <v>0</v>
      </c>
      <c r="AA45" s="8">
        <f t="shared" si="18"/>
        <v>401.28</v>
      </c>
    </row>
    <row r="46" spans="1:27" x14ac:dyDescent="0.25">
      <c r="A46">
        <v>1</v>
      </c>
      <c r="B46" t="s">
        <v>14</v>
      </c>
      <c r="C46" t="s">
        <v>18</v>
      </c>
      <c r="D46" t="s">
        <v>206</v>
      </c>
      <c r="E46">
        <v>20898</v>
      </c>
      <c r="F46" t="s">
        <v>181</v>
      </c>
      <c r="G46">
        <v>24987</v>
      </c>
      <c r="H46" s="3">
        <v>335</v>
      </c>
      <c r="I46" s="3">
        <v>300</v>
      </c>
      <c r="J46" s="3">
        <v>2508</v>
      </c>
      <c r="K46" s="2">
        <v>46122</v>
      </c>
      <c r="L46" s="5"/>
      <c r="M46" s="7"/>
      <c r="N46" s="5">
        <v>610716</v>
      </c>
      <c r="O46" s="7">
        <v>63.485226979068038</v>
      </c>
      <c r="P46" s="7"/>
      <c r="Q46" t="s">
        <v>19</v>
      </c>
      <c r="R46" t="s">
        <v>206</v>
      </c>
      <c r="S46" s="8">
        <f t="shared" si="14"/>
        <v>63.485226979068038</v>
      </c>
      <c r="T46" s="8">
        <f t="shared" si="15"/>
        <v>0.189508140236024</v>
      </c>
      <c r="U46" s="8">
        <f t="shared" si="16"/>
        <v>0.21161742326356012</v>
      </c>
      <c r="V46" s="8"/>
      <c r="X46" s="12">
        <f t="shared" si="4"/>
        <v>0</v>
      </c>
      <c r="Y46" s="8">
        <v>0</v>
      </c>
      <c r="Z46" s="9">
        <f t="shared" si="17"/>
        <v>0</v>
      </c>
      <c r="AA46" s="8">
        <f t="shared" si="18"/>
        <v>2508</v>
      </c>
    </row>
    <row r="47" spans="1:27" x14ac:dyDescent="0.25">
      <c r="A47">
        <v>2</v>
      </c>
      <c r="B47" t="s">
        <v>194</v>
      </c>
      <c r="C47" t="s">
        <v>33</v>
      </c>
      <c r="D47" t="s">
        <v>209</v>
      </c>
      <c r="E47">
        <v>3169</v>
      </c>
      <c r="F47" t="s">
        <v>187</v>
      </c>
      <c r="G47">
        <v>25022</v>
      </c>
      <c r="H47" s="3">
        <v>148.75</v>
      </c>
      <c r="I47" s="3">
        <v>140</v>
      </c>
      <c r="J47" s="3">
        <v>6701.4</v>
      </c>
      <c r="K47" s="2">
        <v>46126</v>
      </c>
      <c r="L47" s="5"/>
      <c r="M47" s="7">
        <v>469.09800000000001</v>
      </c>
      <c r="N47" s="5"/>
      <c r="O47" s="7">
        <v>193.375</v>
      </c>
      <c r="P47" s="7"/>
      <c r="Q47" t="s">
        <v>118</v>
      </c>
      <c r="R47" t="s">
        <v>129</v>
      </c>
      <c r="S47" s="8">
        <f t="shared" si="14"/>
        <v>662.47299999999996</v>
      </c>
      <c r="T47" s="8">
        <f t="shared" si="15"/>
        <v>4.4535999999999998</v>
      </c>
      <c r="U47" s="8">
        <f t="shared" si="16"/>
        <v>4.7319499999999994</v>
      </c>
      <c r="V47" s="8">
        <f t="shared" ref="V47:V51" si="19">H47*0.136067534853132</f>
        <v>20.240045809403384</v>
      </c>
      <c r="W47" s="4">
        <f>H47*0.17</f>
        <v>25.287500000000001</v>
      </c>
      <c r="X47" s="12">
        <f t="shared" si="4"/>
        <v>18.617648166090159</v>
      </c>
      <c r="Y47" s="8">
        <f t="shared" si="8"/>
        <v>726.61819397549345</v>
      </c>
      <c r="Z47" s="9">
        <f t="shared" si="17"/>
        <v>0.10842782015332519</v>
      </c>
      <c r="AA47" s="8">
        <f t="shared" si="18"/>
        <v>5974.7818060245063</v>
      </c>
    </row>
    <row r="48" spans="1:27" x14ac:dyDescent="0.25">
      <c r="A48">
        <v>2</v>
      </c>
      <c r="B48" t="s">
        <v>194</v>
      </c>
      <c r="C48" t="s">
        <v>33</v>
      </c>
      <c r="D48" t="s">
        <v>209</v>
      </c>
      <c r="E48">
        <v>3170</v>
      </c>
      <c r="F48" t="s">
        <v>188</v>
      </c>
      <c r="G48">
        <v>25023</v>
      </c>
      <c r="H48" s="3">
        <v>59.5</v>
      </c>
      <c r="I48" s="3">
        <v>56</v>
      </c>
      <c r="J48" s="3">
        <v>2624.4</v>
      </c>
      <c r="K48" s="2">
        <v>46126</v>
      </c>
      <c r="L48" s="5"/>
      <c r="M48" s="7">
        <v>183.70800000000003</v>
      </c>
      <c r="N48" s="5"/>
      <c r="O48" s="7">
        <v>77.350000000000009</v>
      </c>
      <c r="P48" s="7"/>
      <c r="Q48" t="s">
        <v>150</v>
      </c>
      <c r="R48" t="s">
        <v>129</v>
      </c>
      <c r="S48" s="8">
        <f t="shared" si="14"/>
        <v>261.05800000000005</v>
      </c>
      <c r="T48" s="8">
        <f t="shared" si="15"/>
        <v>4.3875294117647066</v>
      </c>
      <c r="U48" s="8">
        <f t="shared" si="16"/>
        <v>4.6617500000000005</v>
      </c>
      <c r="V48" s="8">
        <f t="shared" si="19"/>
        <v>8.0960183237613546</v>
      </c>
      <c r="W48" s="4">
        <f>H48*0.17</f>
        <v>10.115</v>
      </c>
      <c r="X48" s="12">
        <f t="shared" si="4"/>
        <v>7.4470592664360629</v>
      </c>
      <c r="Y48" s="8">
        <f t="shared" si="8"/>
        <v>286.71607759019747</v>
      </c>
      <c r="Z48" s="9">
        <f t="shared" si="17"/>
        <v>0.10925014387677087</v>
      </c>
      <c r="AA48" s="8">
        <f t="shared" si="18"/>
        <v>2337.6839224098026</v>
      </c>
    </row>
    <row r="49" spans="1:27" x14ac:dyDescent="0.25">
      <c r="A49">
        <v>2</v>
      </c>
      <c r="B49" t="s">
        <v>14</v>
      </c>
      <c r="C49" t="s">
        <v>109</v>
      </c>
      <c r="D49" t="s">
        <v>209</v>
      </c>
      <c r="E49">
        <v>3174</v>
      </c>
      <c r="F49" t="s">
        <v>176</v>
      </c>
      <c r="G49">
        <v>25228</v>
      </c>
      <c r="H49" s="3">
        <v>145.80000000000001</v>
      </c>
      <c r="I49" s="3">
        <v>136</v>
      </c>
      <c r="J49" s="3">
        <v>5685.62</v>
      </c>
      <c r="K49" s="2">
        <v>46129</v>
      </c>
      <c r="L49" s="5"/>
      <c r="M49" s="7"/>
      <c r="N49" s="5">
        <v>611508</v>
      </c>
      <c r="O49" s="7">
        <v>189.54</v>
      </c>
      <c r="P49" s="7">
        <f t="shared" ref="P49:P51" si="20">0.0768385441837987*H49</f>
        <v>11.203059741997849</v>
      </c>
      <c r="Q49" t="s">
        <v>110</v>
      </c>
      <c r="R49" t="s">
        <v>129</v>
      </c>
      <c r="S49" s="8">
        <f t="shared" si="14"/>
        <v>200.74305974199785</v>
      </c>
      <c r="T49" s="8">
        <f t="shared" si="15"/>
        <v>1.3768385441837987</v>
      </c>
      <c r="U49" s="8">
        <f t="shared" si="16"/>
        <v>1.4760519098676312</v>
      </c>
      <c r="V49" s="8">
        <f t="shared" si="19"/>
        <v>19.838646581586648</v>
      </c>
      <c r="W49" s="4">
        <f>H49*0.17</f>
        <v>24.786000000000005</v>
      </c>
      <c r="X49" s="12">
        <f t="shared" si="4"/>
        <v>18.248424219266859</v>
      </c>
      <c r="Y49" s="8">
        <f t="shared" si="8"/>
        <v>263.61613054285135</v>
      </c>
      <c r="Z49" s="9">
        <f t="shared" si="17"/>
        <v>4.6365414949091105E-2</v>
      </c>
      <c r="AA49" s="8">
        <f t="shared" si="18"/>
        <v>5422.0038694571485</v>
      </c>
    </row>
    <row r="50" spans="1:27" x14ac:dyDescent="0.25">
      <c r="A50">
        <v>2</v>
      </c>
      <c r="B50" t="s">
        <v>14</v>
      </c>
      <c r="C50" t="s">
        <v>31</v>
      </c>
      <c r="D50" t="s">
        <v>209</v>
      </c>
      <c r="E50">
        <v>3175</v>
      </c>
      <c r="F50" t="s">
        <v>175</v>
      </c>
      <c r="G50">
        <v>25229</v>
      </c>
      <c r="H50" s="3">
        <v>222.15</v>
      </c>
      <c r="I50" s="3">
        <v>209.2</v>
      </c>
      <c r="J50" s="3">
        <v>10141.61</v>
      </c>
      <c r="K50" s="2">
        <v>46129</v>
      </c>
      <c r="L50" s="5"/>
      <c r="M50" s="7"/>
      <c r="N50" s="5">
        <v>611509</v>
      </c>
      <c r="O50" s="7">
        <v>288.8</v>
      </c>
      <c r="P50" s="7">
        <f t="shared" si="20"/>
        <v>17.06968259043088</v>
      </c>
      <c r="Q50" t="s">
        <v>48</v>
      </c>
      <c r="R50" t="s">
        <v>91</v>
      </c>
      <c r="S50" s="8">
        <f t="shared" si="14"/>
        <v>305.8696825904309</v>
      </c>
      <c r="T50" s="8">
        <f t="shared" si="15"/>
        <v>1.3768610514986761</v>
      </c>
      <c r="U50" s="8">
        <f t="shared" si="16"/>
        <v>1.4620921729944116</v>
      </c>
      <c r="V50" s="8">
        <f t="shared" si="19"/>
        <v>30.227402867623276</v>
      </c>
      <c r="W50" s="4">
        <f>H50*0.17</f>
        <v>37.765500000000003</v>
      </c>
      <c r="X50" s="12">
        <f t="shared" si="4"/>
        <v>27.804440605693635</v>
      </c>
      <c r="Y50" s="8">
        <f t="shared" si="8"/>
        <v>401.66702606374776</v>
      </c>
      <c r="Z50" s="9">
        <f t="shared" si="17"/>
        <v>3.960584424600707E-2</v>
      </c>
      <c r="AA50" s="8">
        <f t="shared" si="18"/>
        <v>9739.9429739362531</v>
      </c>
    </row>
    <row r="51" spans="1:27" x14ac:dyDescent="0.25">
      <c r="A51">
        <v>2</v>
      </c>
      <c r="B51" t="s">
        <v>14</v>
      </c>
      <c r="C51" t="s">
        <v>31</v>
      </c>
      <c r="D51" t="s">
        <v>209</v>
      </c>
      <c r="E51">
        <v>3176</v>
      </c>
      <c r="F51" t="s">
        <v>159</v>
      </c>
      <c r="G51">
        <v>25230</v>
      </c>
      <c r="H51" s="3">
        <v>119</v>
      </c>
      <c r="I51" s="3">
        <v>112</v>
      </c>
      <c r="J51" s="3">
        <v>5574.3</v>
      </c>
      <c r="K51" s="2">
        <v>46129</v>
      </c>
      <c r="L51" s="5"/>
      <c r="M51" s="7"/>
      <c r="N51" s="5">
        <v>611510</v>
      </c>
      <c r="O51" s="7">
        <v>154.69999999999999</v>
      </c>
      <c r="P51" s="7">
        <f t="shared" si="20"/>
        <v>9.1437867578720446</v>
      </c>
      <c r="Q51" t="s">
        <v>32</v>
      </c>
      <c r="R51" t="s">
        <v>91</v>
      </c>
      <c r="S51" s="8">
        <f t="shared" si="14"/>
        <v>163.84378675787204</v>
      </c>
      <c r="T51" s="8">
        <f t="shared" si="15"/>
        <v>1.3768385441837987</v>
      </c>
      <c r="U51" s="8">
        <f t="shared" si="16"/>
        <v>1.4628909531952861</v>
      </c>
      <c r="V51" s="8">
        <f t="shared" si="19"/>
        <v>16.192036647522709</v>
      </c>
      <c r="W51" s="4">
        <f>H51*0.17</f>
        <v>20.23</v>
      </c>
      <c r="X51" s="12">
        <f t="shared" si="4"/>
        <v>14.894118532872126</v>
      </c>
      <c r="Y51" s="8">
        <f t="shared" si="8"/>
        <v>215.15994193826685</v>
      </c>
      <c r="Z51" s="9">
        <f t="shared" si="17"/>
        <v>3.8598558014148299E-2</v>
      </c>
      <c r="AA51" s="8">
        <f t="shared" si="18"/>
        <v>5359.1400580617337</v>
      </c>
    </row>
    <row r="52" spans="1:27" x14ac:dyDescent="0.25">
      <c r="A52">
        <v>1</v>
      </c>
      <c r="B52" t="s">
        <v>14</v>
      </c>
      <c r="C52" t="s">
        <v>18</v>
      </c>
      <c r="D52" t="s">
        <v>206</v>
      </c>
      <c r="E52">
        <v>20899</v>
      </c>
      <c r="F52" t="s">
        <v>181</v>
      </c>
      <c r="G52">
        <v>25234</v>
      </c>
      <c r="H52" s="3">
        <v>5146.2</v>
      </c>
      <c r="I52" s="3">
        <v>4797.6000000000004</v>
      </c>
      <c r="J52" s="3">
        <v>39142.800000000003</v>
      </c>
      <c r="K52" s="2">
        <v>46129</v>
      </c>
      <c r="L52" s="5"/>
      <c r="M52" s="7"/>
      <c r="N52" s="5">
        <v>613210</v>
      </c>
      <c r="O52" s="7">
        <v>1100</v>
      </c>
      <c r="P52" s="7"/>
      <c r="Q52" t="s">
        <v>19</v>
      </c>
      <c r="R52" t="s">
        <v>206</v>
      </c>
      <c r="S52" s="8">
        <f t="shared" si="14"/>
        <v>1100</v>
      </c>
      <c r="T52" s="8">
        <f t="shared" si="15"/>
        <v>0.2137499514204656</v>
      </c>
      <c r="U52" s="8">
        <f t="shared" si="16"/>
        <v>0.22928130732032681</v>
      </c>
      <c r="V52" s="8"/>
      <c r="X52" s="12">
        <f t="shared" si="4"/>
        <v>0</v>
      </c>
      <c r="Y52" s="8">
        <v>0</v>
      </c>
      <c r="Z52" s="9">
        <f t="shared" si="17"/>
        <v>0</v>
      </c>
      <c r="AA52" s="8">
        <f t="shared" si="18"/>
        <v>39142.800000000003</v>
      </c>
    </row>
    <row r="53" spans="1:27" x14ac:dyDescent="0.25">
      <c r="A53">
        <v>1</v>
      </c>
      <c r="B53" t="s">
        <v>14</v>
      </c>
      <c r="C53" t="s">
        <v>12</v>
      </c>
      <c r="D53" t="s">
        <v>209</v>
      </c>
      <c r="E53">
        <v>20900</v>
      </c>
      <c r="F53" t="s">
        <v>178</v>
      </c>
      <c r="G53">
        <v>25240</v>
      </c>
      <c r="H53" s="3">
        <v>96.75</v>
      </c>
      <c r="I53" s="3">
        <v>88</v>
      </c>
      <c r="J53" s="3">
        <v>4007.5</v>
      </c>
      <c r="K53" s="2">
        <v>46129</v>
      </c>
      <c r="L53" s="5"/>
      <c r="M53" s="7"/>
      <c r="N53" s="5">
        <v>611511</v>
      </c>
      <c r="O53" s="7">
        <v>125.78</v>
      </c>
      <c r="P53" s="7">
        <f t="shared" ref="P53:P68" si="21">0.0768385441837987*H53</f>
        <v>7.4341291497825237</v>
      </c>
      <c r="Q53" t="s">
        <v>24</v>
      </c>
      <c r="R53" t="s">
        <v>138</v>
      </c>
      <c r="S53" s="8">
        <f t="shared" si="14"/>
        <v>133.21412914978254</v>
      </c>
      <c r="T53" s="8">
        <f t="shared" si="15"/>
        <v>1.3768902237703622</v>
      </c>
      <c r="U53" s="8">
        <f t="shared" si="16"/>
        <v>1.5137969221566197</v>
      </c>
      <c r="V53" s="8">
        <f t="shared" ref="V53:V68" si="22">H53*0.136067534853132</f>
        <v>13.164533997040522</v>
      </c>
      <c r="W53" s="4">
        <f t="shared" ref="W53:W68" si="23">H53*0.17</f>
        <v>16.447500000000002</v>
      </c>
      <c r="X53" s="12">
        <f t="shared" si="4"/>
        <v>12.10929384920486</v>
      </c>
      <c r="Y53" s="8">
        <f t="shared" si="8"/>
        <v>174.93545699602788</v>
      </c>
      <c r="Z53" s="9">
        <f t="shared" si="17"/>
        <v>4.3652016717661356E-2</v>
      </c>
      <c r="AA53" s="8">
        <f t="shared" si="18"/>
        <v>3832.5645430039722</v>
      </c>
    </row>
    <row r="54" spans="1:27" x14ac:dyDescent="0.25">
      <c r="A54">
        <v>1</v>
      </c>
      <c r="B54" t="s">
        <v>14</v>
      </c>
      <c r="C54" t="s">
        <v>12</v>
      </c>
      <c r="D54" t="s">
        <v>209</v>
      </c>
      <c r="E54">
        <v>20901</v>
      </c>
      <c r="F54" t="s">
        <v>184</v>
      </c>
      <c r="G54">
        <v>25241</v>
      </c>
      <c r="H54" s="3">
        <v>63.25</v>
      </c>
      <c r="I54" s="3">
        <v>58</v>
      </c>
      <c r="J54" s="3">
        <v>2650.25</v>
      </c>
      <c r="K54" s="2">
        <v>46129</v>
      </c>
      <c r="L54" s="5"/>
      <c r="M54" s="7"/>
      <c r="N54" s="5">
        <v>611512</v>
      </c>
      <c r="O54" s="7">
        <v>82.22</v>
      </c>
      <c r="P54" s="7">
        <f t="shared" si="21"/>
        <v>4.8600379196252677</v>
      </c>
      <c r="Q54" t="s">
        <v>54</v>
      </c>
      <c r="R54" t="s">
        <v>138</v>
      </c>
      <c r="S54" s="8">
        <f t="shared" si="14"/>
        <v>87.080037919625269</v>
      </c>
      <c r="T54" s="8">
        <f t="shared" si="15"/>
        <v>1.3767594928003994</v>
      </c>
      <c r="U54" s="8">
        <f t="shared" si="16"/>
        <v>1.5013799641314702</v>
      </c>
      <c r="V54" s="8">
        <f t="shared" si="22"/>
        <v>8.6062715794605982</v>
      </c>
      <c r="W54" s="4">
        <f t="shared" si="23"/>
        <v>10.752500000000001</v>
      </c>
      <c r="X54" s="12">
        <f t="shared" si="4"/>
        <v>7.9164117412114452</v>
      </c>
      <c r="Y54" s="8">
        <f t="shared" si="8"/>
        <v>114.35522124029731</v>
      </c>
      <c r="Z54" s="9">
        <f t="shared" si="17"/>
        <v>4.3148843030015024E-2</v>
      </c>
      <c r="AA54" s="8">
        <f t="shared" si="18"/>
        <v>2535.8947787597026</v>
      </c>
    </row>
    <row r="55" spans="1:27" x14ac:dyDescent="0.25">
      <c r="A55">
        <v>1</v>
      </c>
      <c r="B55" t="s">
        <v>14</v>
      </c>
      <c r="C55" t="s">
        <v>12</v>
      </c>
      <c r="D55" t="s">
        <v>209</v>
      </c>
      <c r="E55">
        <v>20902</v>
      </c>
      <c r="F55" t="s">
        <v>159</v>
      </c>
      <c r="G55">
        <v>25242</v>
      </c>
      <c r="H55" s="3">
        <v>45.4</v>
      </c>
      <c r="I55" s="3">
        <v>41.2</v>
      </c>
      <c r="J55" s="3">
        <v>1876.96</v>
      </c>
      <c r="K55" s="2">
        <v>46129</v>
      </c>
      <c r="L55" s="5"/>
      <c r="M55" s="7"/>
      <c r="N55" s="5">
        <v>611513</v>
      </c>
      <c r="O55" s="7">
        <v>59.02</v>
      </c>
      <c r="P55" s="7">
        <f t="shared" si="21"/>
        <v>3.4884699059444606</v>
      </c>
      <c r="Q55" t="s">
        <v>42</v>
      </c>
      <c r="R55" t="s">
        <v>91</v>
      </c>
      <c r="S55" s="8">
        <f t="shared" si="14"/>
        <v>62.508469905944466</v>
      </c>
      <c r="T55" s="8">
        <f t="shared" si="15"/>
        <v>1.3768385441837989</v>
      </c>
      <c r="U55" s="8">
        <f t="shared" si="16"/>
        <v>1.5171958715035063</v>
      </c>
      <c r="V55" s="8">
        <f t="shared" si="22"/>
        <v>6.1774660823321925</v>
      </c>
      <c r="W55" s="4">
        <f t="shared" si="23"/>
        <v>7.718</v>
      </c>
      <c r="X55" s="12">
        <f t="shared" si="4"/>
        <v>5.6822939612806254</v>
      </c>
      <c r="Y55" s="8">
        <f t="shared" si="8"/>
        <v>82.086229949557278</v>
      </c>
      <c r="Z55" s="9">
        <f t="shared" si="17"/>
        <v>4.373360644316196E-2</v>
      </c>
      <c r="AA55" s="8">
        <f t="shared" si="18"/>
        <v>1794.8737700504428</v>
      </c>
    </row>
    <row r="56" spans="1:27" x14ac:dyDescent="0.25">
      <c r="A56">
        <v>1</v>
      </c>
      <c r="B56" t="s">
        <v>14</v>
      </c>
      <c r="C56" t="s">
        <v>12</v>
      </c>
      <c r="D56" t="s">
        <v>209</v>
      </c>
      <c r="E56">
        <v>20903</v>
      </c>
      <c r="F56" t="s">
        <v>192</v>
      </c>
      <c r="G56">
        <v>25243</v>
      </c>
      <c r="H56" s="3">
        <v>152.5</v>
      </c>
      <c r="I56" s="3">
        <v>142</v>
      </c>
      <c r="J56" s="3">
        <v>6466.5</v>
      </c>
      <c r="K56" s="2">
        <v>46129</v>
      </c>
      <c r="L56" s="5"/>
      <c r="M56" s="7"/>
      <c r="N56" s="5">
        <v>611514</v>
      </c>
      <c r="O56" s="7">
        <v>198.25</v>
      </c>
      <c r="P56" s="7">
        <f t="shared" si="21"/>
        <v>11.717877988029301</v>
      </c>
      <c r="Q56" t="s">
        <v>114</v>
      </c>
      <c r="R56" t="s">
        <v>128</v>
      </c>
      <c r="S56" s="8">
        <f t="shared" si="14"/>
        <v>209.9678779880293</v>
      </c>
      <c r="T56" s="8">
        <f t="shared" si="15"/>
        <v>1.3768385441837987</v>
      </c>
      <c r="U56" s="8">
        <f t="shared" si="16"/>
        <v>1.4786470280847135</v>
      </c>
      <c r="V56" s="8">
        <f t="shared" si="22"/>
        <v>20.750299065102631</v>
      </c>
      <c r="W56" s="4">
        <f t="shared" si="23"/>
        <v>25.925000000000001</v>
      </c>
      <c r="X56" s="12">
        <f t="shared" si="4"/>
        <v>19.08700064086554</v>
      </c>
      <c r="Y56" s="8">
        <f t="shared" si="8"/>
        <v>275.73017769399746</v>
      </c>
      <c r="Z56" s="9">
        <f t="shared" si="17"/>
        <v>4.2639786235830431E-2</v>
      </c>
      <c r="AA56" s="8">
        <f t="shared" si="18"/>
        <v>6190.7698223060024</v>
      </c>
    </row>
    <row r="57" spans="1:27" x14ac:dyDescent="0.25">
      <c r="A57">
        <v>1</v>
      </c>
      <c r="B57" t="s">
        <v>14</v>
      </c>
      <c r="C57" t="s">
        <v>12</v>
      </c>
      <c r="D57" t="s">
        <v>209</v>
      </c>
      <c r="E57">
        <v>20904</v>
      </c>
      <c r="F57" t="s">
        <v>184</v>
      </c>
      <c r="G57">
        <v>25244</v>
      </c>
      <c r="H57" s="3">
        <v>63.25</v>
      </c>
      <c r="I57" s="3">
        <v>58</v>
      </c>
      <c r="J57" s="3">
        <v>2650.25</v>
      </c>
      <c r="K57" s="2">
        <v>46129</v>
      </c>
      <c r="L57" s="5"/>
      <c r="M57" s="7"/>
      <c r="N57" s="5">
        <v>611515</v>
      </c>
      <c r="O57" s="7">
        <v>82.22</v>
      </c>
      <c r="P57" s="7">
        <f t="shared" si="21"/>
        <v>4.8600379196252677</v>
      </c>
      <c r="Q57" t="s">
        <v>56</v>
      </c>
      <c r="R57" t="s">
        <v>138</v>
      </c>
      <c r="S57" s="8">
        <f t="shared" si="14"/>
        <v>87.080037919625269</v>
      </c>
      <c r="T57" s="8">
        <f t="shared" si="15"/>
        <v>1.3767594928003994</v>
      </c>
      <c r="U57" s="8">
        <f t="shared" si="16"/>
        <v>1.5013799641314702</v>
      </c>
      <c r="V57" s="8">
        <f t="shared" si="22"/>
        <v>8.6062715794605982</v>
      </c>
      <c r="W57" s="4">
        <f t="shared" si="23"/>
        <v>10.752500000000001</v>
      </c>
      <c r="X57" s="12">
        <f t="shared" si="4"/>
        <v>7.9164117412114452</v>
      </c>
      <c r="Y57" s="8">
        <f t="shared" si="8"/>
        <v>114.35522124029731</v>
      </c>
      <c r="Z57" s="9">
        <f t="shared" si="17"/>
        <v>4.3148843030015024E-2</v>
      </c>
      <c r="AA57" s="8">
        <f t="shared" si="18"/>
        <v>2535.8947787597026</v>
      </c>
    </row>
    <row r="58" spans="1:27" x14ac:dyDescent="0.25">
      <c r="A58">
        <v>1</v>
      </c>
      <c r="B58" t="s">
        <v>14</v>
      </c>
      <c r="C58" t="s">
        <v>12</v>
      </c>
      <c r="D58" t="s">
        <v>209</v>
      </c>
      <c r="E58">
        <v>20905</v>
      </c>
      <c r="F58" t="s">
        <v>193</v>
      </c>
      <c r="G58">
        <v>25245</v>
      </c>
      <c r="H58" s="3">
        <v>91.5</v>
      </c>
      <c r="I58" s="3">
        <v>85.2</v>
      </c>
      <c r="J58" s="3">
        <v>3879.9</v>
      </c>
      <c r="K58" s="2">
        <v>46129</v>
      </c>
      <c r="L58" s="5"/>
      <c r="M58" s="7"/>
      <c r="N58" s="5">
        <v>611516</v>
      </c>
      <c r="O58" s="7">
        <v>118.95</v>
      </c>
      <c r="P58" s="7">
        <f t="shared" si="21"/>
        <v>7.0307267928175801</v>
      </c>
      <c r="Q58" t="s">
        <v>53</v>
      </c>
      <c r="R58" t="s">
        <v>128</v>
      </c>
      <c r="S58" s="8">
        <f t="shared" si="14"/>
        <v>125.98072679281758</v>
      </c>
      <c r="T58" s="8">
        <f t="shared" si="15"/>
        <v>1.3768385441837987</v>
      </c>
      <c r="U58" s="8">
        <f t="shared" si="16"/>
        <v>1.4786470280847133</v>
      </c>
      <c r="V58" s="8">
        <f t="shared" si="22"/>
        <v>12.450179439061579</v>
      </c>
      <c r="W58" s="4">
        <f t="shared" si="23"/>
        <v>15.555000000000001</v>
      </c>
      <c r="X58" s="12">
        <f t="shared" si="4"/>
        <v>11.452200384519324</v>
      </c>
      <c r="Y58" s="8">
        <f t="shared" si="8"/>
        <v>165.4381066163985</v>
      </c>
      <c r="Z58" s="9">
        <f t="shared" si="17"/>
        <v>4.2639786235830431E-2</v>
      </c>
      <c r="AA58" s="8">
        <f t="shared" si="18"/>
        <v>3714.4618933836018</v>
      </c>
    </row>
    <row r="59" spans="1:27" x14ac:dyDescent="0.25">
      <c r="A59">
        <v>1</v>
      </c>
      <c r="B59" t="s">
        <v>14</v>
      </c>
      <c r="C59" t="s">
        <v>12</v>
      </c>
      <c r="D59" t="s">
        <v>209</v>
      </c>
      <c r="E59">
        <v>20906</v>
      </c>
      <c r="F59" t="s">
        <v>178</v>
      </c>
      <c r="G59">
        <v>25246</v>
      </c>
      <c r="H59" s="3">
        <v>63.25</v>
      </c>
      <c r="I59" s="3">
        <v>58</v>
      </c>
      <c r="J59" s="3">
        <v>2637.7</v>
      </c>
      <c r="K59" s="2">
        <v>46129</v>
      </c>
      <c r="L59" s="5"/>
      <c r="M59" s="7"/>
      <c r="N59" s="5">
        <v>611517</v>
      </c>
      <c r="O59" s="7">
        <v>82.22</v>
      </c>
      <c r="P59" s="7">
        <f t="shared" si="21"/>
        <v>4.8600379196252677</v>
      </c>
      <c r="Q59" t="s">
        <v>43</v>
      </c>
      <c r="R59" t="s">
        <v>138</v>
      </c>
      <c r="S59" s="8">
        <f t="shared" si="14"/>
        <v>87.080037919625269</v>
      </c>
      <c r="T59" s="8">
        <f t="shared" si="15"/>
        <v>1.3767594928003994</v>
      </c>
      <c r="U59" s="8">
        <f t="shared" si="16"/>
        <v>1.5013799641314702</v>
      </c>
      <c r="V59" s="8">
        <f t="shared" si="22"/>
        <v>8.6062715794605982</v>
      </c>
      <c r="W59" s="4">
        <f t="shared" si="23"/>
        <v>10.752500000000001</v>
      </c>
      <c r="X59" s="12">
        <f t="shared" si="4"/>
        <v>7.9164117412114452</v>
      </c>
      <c r="Y59" s="8">
        <f t="shared" si="8"/>
        <v>114.35522124029731</v>
      </c>
      <c r="Z59" s="9">
        <f t="shared" si="17"/>
        <v>4.3354142336238889E-2</v>
      </c>
      <c r="AA59" s="8">
        <f t="shared" si="18"/>
        <v>2523.3447787597024</v>
      </c>
    </row>
    <row r="60" spans="1:27" x14ac:dyDescent="0.25">
      <c r="A60">
        <v>1</v>
      </c>
      <c r="B60" t="s">
        <v>14</v>
      </c>
      <c r="C60" t="s">
        <v>12</v>
      </c>
      <c r="D60" t="s">
        <v>209</v>
      </c>
      <c r="E60">
        <v>20907</v>
      </c>
      <c r="F60" t="s">
        <v>159</v>
      </c>
      <c r="G60">
        <v>25247</v>
      </c>
      <c r="H60" s="3">
        <v>33.5</v>
      </c>
      <c r="I60" s="3">
        <v>30</v>
      </c>
      <c r="J60" s="3">
        <v>1369.8</v>
      </c>
      <c r="K60" s="2">
        <v>46129</v>
      </c>
      <c r="L60" s="5"/>
      <c r="M60" s="7"/>
      <c r="N60" s="5">
        <v>611518</v>
      </c>
      <c r="O60" s="7">
        <v>43.55</v>
      </c>
      <c r="P60" s="7">
        <f t="shared" si="21"/>
        <v>2.574091230157256</v>
      </c>
      <c r="Q60" t="s">
        <v>58</v>
      </c>
      <c r="R60" t="s">
        <v>91</v>
      </c>
      <c r="S60" s="8">
        <f t="shared" si="14"/>
        <v>46.124091230157255</v>
      </c>
      <c r="T60" s="8">
        <f t="shared" si="15"/>
        <v>1.3768385441837987</v>
      </c>
      <c r="U60" s="8">
        <f t="shared" si="16"/>
        <v>1.5374697076719086</v>
      </c>
      <c r="V60" s="8">
        <f t="shared" si="22"/>
        <v>4.5582624175799218</v>
      </c>
      <c r="W60" s="4">
        <f t="shared" si="23"/>
        <v>5.6950000000000003</v>
      </c>
      <c r="X60" s="12">
        <f t="shared" si="4"/>
        <v>4.1928821079934133</v>
      </c>
      <c r="Y60" s="8">
        <f t="shared" si="8"/>
        <v>60.570235755730586</v>
      </c>
      <c r="Z60" s="9">
        <f t="shared" si="17"/>
        <v>4.4218306143765942E-2</v>
      </c>
      <c r="AA60" s="8">
        <f t="shared" si="18"/>
        <v>1309.2297642442693</v>
      </c>
    </row>
    <row r="61" spans="1:27" x14ac:dyDescent="0.25">
      <c r="A61">
        <v>1</v>
      </c>
      <c r="B61" t="s">
        <v>14</v>
      </c>
      <c r="C61" t="s">
        <v>12</v>
      </c>
      <c r="D61" t="s">
        <v>209</v>
      </c>
      <c r="E61">
        <v>20908</v>
      </c>
      <c r="F61" t="s">
        <v>178</v>
      </c>
      <c r="G61">
        <v>25248</v>
      </c>
      <c r="H61" s="3">
        <v>96.75</v>
      </c>
      <c r="I61" s="3">
        <v>88</v>
      </c>
      <c r="J61" s="3">
        <v>4007.5</v>
      </c>
      <c r="K61" s="2">
        <v>46129</v>
      </c>
      <c r="L61" s="5"/>
      <c r="M61" s="7"/>
      <c r="N61" s="5">
        <v>611519</v>
      </c>
      <c r="O61" s="7">
        <v>125.78</v>
      </c>
      <c r="P61" s="7">
        <f t="shared" si="21"/>
        <v>7.4341291497825237</v>
      </c>
      <c r="Q61" t="s">
        <v>60</v>
      </c>
      <c r="R61" t="s">
        <v>138</v>
      </c>
      <c r="S61" s="8">
        <f t="shared" si="14"/>
        <v>133.21412914978254</v>
      </c>
      <c r="T61" s="8">
        <f t="shared" si="15"/>
        <v>1.3768902237703622</v>
      </c>
      <c r="U61" s="8">
        <f t="shared" si="16"/>
        <v>1.5137969221566197</v>
      </c>
      <c r="V61" s="8">
        <f t="shared" si="22"/>
        <v>13.164533997040522</v>
      </c>
      <c r="W61" s="4">
        <f t="shared" si="23"/>
        <v>16.447500000000002</v>
      </c>
      <c r="X61" s="12">
        <f t="shared" si="4"/>
        <v>12.10929384920486</v>
      </c>
      <c r="Y61" s="8">
        <f t="shared" si="8"/>
        <v>174.93545699602788</v>
      </c>
      <c r="Z61" s="9">
        <f t="shared" si="17"/>
        <v>4.3652016717661356E-2</v>
      </c>
      <c r="AA61" s="8">
        <f t="shared" si="18"/>
        <v>3832.5645430039722</v>
      </c>
    </row>
    <row r="62" spans="1:27" x14ac:dyDescent="0.25">
      <c r="A62">
        <v>1</v>
      </c>
      <c r="B62" t="s">
        <v>14</v>
      </c>
      <c r="C62" t="s">
        <v>12</v>
      </c>
      <c r="D62" t="s">
        <v>209</v>
      </c>
      <c r="E62">
        <v>20909</v>
      </c>
      <c r="F62" t="s">
        <v>159</v>
      </c>
      <c r="G62">
        <v>25249</v>
      </c>
      <c r="H62" s="3">
        <v>76.25</v>
      </c>
      <c r="I62" s="3">
        <v>71</v>
      </c>
      <c r="J62" s="3">
        <v>3233.25</v>
      </c>
      <c r="K62" s="2">
        <v>46129</v>
      </c>
      <c r="L62" s="5"/>
      <c r="M62" s="7"/>
      <c r="N62" s="5">
        <v>611520</v>
      </c>
      <c r="O62" s="7">
        <v>99.12</v>
      </c>
      <c r="P62" s="7">
        <f t="shared" si="21"/>
        <v>5.8589389940146503</v>
      </c>
      <c r="Q62" t="s">
        <v>61</v>
      </c>
      <c r="R62" t="s">
        <v>91</v>
      </c>
      <c r="S62" s="8">
        <f t="shared" si="14"/>
        <v>104.97893899401465</v>
      </c>
      <c r="T62" s="8">
        <f t="shared" si="15"/>
        <v>1.3767729704133069</v>
      </c>
      <c r="U62" s="8">
        <f t="shared" si="16"/>
        <v>1.4785766055495022</v>
      </c>
      <c r="V62" s="8">
        <f t="shared" si="22"/>
        <v>10.375149532551315</v>
      </c>
      <c r="W62" s="4">
        <f t="shared" si="23"/>
        <v>12.9625</v>
      </c>
      <c r="X62" s="12">
        <f t="shared" si="4"/>
        <v>9.54350032043277</v>
      </c>
      <c r="Y62" s="8">
        <f t="shared" si="8"/>
        <v>137.86008884699874</v>
      </c>
      <c r="Z62" s="9">
        <f t="shared" si="17"/>
        <v>4.2638239804221365E-2</v>
      </c>
      <c r="AA62" s="8">
        <f t="shared" si="18"/>
        <v>3095.3899111530013</v>
      </c>
    </row>
    <row r="63" spans="1:27" x14ac:dyDescent="0.25">
      <c r="A63">
        <v>1</v>
      </c>
      <c r="B63" t="s">
        <v>14</v>
      </c>
      <c r="C63" t="s">
        <v>12</v>
      </c>
      <c r="D63" t="s">
        <v>209</v>
      </c>
      <c r="E63">
        <v>20910</v>
      </c>
      <c r="F63" t="s">
        <v>181</v>
      </c>
      <c r="G63">
        <v>25250</v>
      </c>
      <c r="H63" s="3">
        <v>431.5</v>
      </c>
      <c r="I63" s="3">
        <v>400</v>
      </c>
      <c r="J63" s="3">
        <v>18258.599999999999</v>
      </c>
      <c r="K63" s="2">
        <v>46129</v>
      </c>
      <c r="L63" s="5"/>
      <c r="M63" s="7"/>
      <c r="N63" s="5">
        <v>611521</v>
      </c>
      <c r="O63" s="7">
        <v>560.95000000000005</v>
      </c>
      <c r="P63" s="7">
        <f t="shared" si="21"/>
        <v>33.155831815309135</v>
      </c>
      <c r="Q63" t="s">
        <v>27</v>
      </c>
      <c r="R63" t="s">
        <v>91</v>
      </c>
      <c r="S63" s="8">
        <f t="shared" si="14"/>
        <v>594.10583181530922</v>
      </c>
      <c r="T63" s="8">
        <f t="shared" si="15"/>
        <v>1.3768385441837989</v>
      </c>
      <c r="U63" s="8">
        <f t="shared" si="16"/>
        <v>1.4852645795382731</v>
      </c>
      <c r="V63" s="8">
        <f t="shared" si="22"/>
        <v>58.713141289126455</v>
      </c>
      <c r="W63" s="4">
        <f t="shared" si="23"/>
        <v>73.355000000000004</v>
      </c>
      <c r="X63" s="12">
        <f t="shared" si="4"/>
        <v>54.006824764153968</v>
      </c>
      <c r="Y63" s="8">
        <f t="shared" si="8"/>
        <v>780.18079786858971</v>
      </c>
      <c r="Z63" s="9">
        <f t="shared" si="17"/>
        <v>4.2729497216029144E-2</v>
      </c>
      <c r="AA63" s="8">
        <f t="shared" si="18"/>
        <v>17478.419202131408</v>
      </c>
    </row>
    <row r="64" spans="1:27" x14ac:dyDescent="0.25">
      <c r="A64">
        <v>1</v>
      </c>
      <c r="B64" t="s">
        <v>14</v>
      </c>
      <c r="C64" t="s">
        <v>12</v>
      </c>
      <c r="D64" t="s">
        <v>209</v>
      </c>
      <c r="E64">
        <v>20911</v>
      </c>
      <c r="F64" t="s">
        <v>178</v>
      </c>
      <c r="G64">
        <v>25251</v>
      </c>
      <c r="H64" s="3">
        <v>93</v>
      </c>
      <c r="I64" s="3">
        <v>86</v>
      </c>
      <c r="J64" s="3">
        <v>3930.7</v>
      </c>
      <c r="K64" s="2">
        <v>46129</v>
      </c>
      <c r="L64" s="5"/>
      <c r="M64" s="7"/>
      <c r="N64" s="5">
        <v>611522</v>
      </c>
      <c r="O64" s="7">
        <v>120.9</v>
      </c>
      <c r="P64" s="7">
        <f t="shared" si="21"/>
        <v>7.1459846090932784</v>
      </c>
      <c r="Q64" t="s">
        <v>97</v>
      </c>
      <c r="R64" t="s">
        <v>138</v>
      </c>
      <c r="S64" s="8">
        <f t="shared" si="14"/>
        <v>128.0459846090933</v>
      </c>
      <c r="T64" s="8">
        <f t="shared" si="15"/>
        <v>1.3768385441837989</v>
      </c>
      <c r="U64" s="8">
        <f t="shared" si="16"/>
        <v>1.4889067977801547</v>
      </c>
      <c r="V64" s="8">
        <f t="shared" si="22"/>
        <v>12.654280741341276</v>
      </c>
      <c r="W64" s="4">
        <f t="shared" si="23"/>
        <v>15.81</v>
      </c>
      <c r="X64" s="12">
        <f t="shared" si="4"/>
        <v>11.639941374429478</v>
      </c>
      <c r="Y64" s="8">
        <f t="shared" si="8"/>
        <v>168.15020672486403</v>
      </c>
      <c r="Z64" s="9">
        <f t="shared" si="17"/>
        <v>4.2778692529285886E-2</v>
      </c>
      <c r="AA64" s="8">
        <f t="shared" si="18"/>
        <v>3762.5497932751359</v>
      </c>
    </row>
    <row r="65" spans="1:27" x14ac:dyDescent="0.25">
      <c r="A65">
        <v>1</v>
      </c>
      <c r="B65" t="s">
        <v>14</v>
      </c>
      <c r="C65" t="s">
        <v>12</v>
      </c>
      <c r="D65" t="s">
        <v>209</v>
      </c>
      <c r="E65">
        <v>20912</v>
      </c>
      <c r="F65" t="s">
        <v>184</v>
      </c>
      <c r="G65">
        <v>25252</v>
      </c>
      <c r="H65" s="3">
        <v>94.15</v>
      </c>
      <c r="I65" s="3">
        <v>88.2</v>
      </c>
      <c r="J65" s="3">
        <v>3946.93</v>
      </c>
      <c r="K65" s="2">
        <v>46129</v>
      </c>
      <c r="L65" s="5"/>
      <c r="M65" s="7"/>
      <c r="N65" s="5">
        <v>611523</v>
      </c>
      <c r="O65" s="7">
        <v>122.4</v>
      </c>
      <c r="P65" s="7">
        <f t="shared" si="21"/>
        <v>7.2343489349046477</v>
      </c>
      <c r="Q65" t="s">
        <v>151</v>
      </c>
      <c r="R65" t="s">
        <v>138</v>
      </c>
      <c r="S65" s="8">
        <f t="shared" si="14"/>
        <v>129.63434893490466</v>
      </c>
      <c r="T65" s="8">
        <f t="shared" si="15"/>
        <v>1.3768916509283553</v>
      </c>
      <c r="U65" s="8">
        <f t="shared" si="16"/>
        <v>1.4697771988084429</v>
      </c>
      <c r="V65" s="8">
        <f t="shared" si="22"/>
        <v>12.810758406422378</v>
      </c>
      <c r="W65" s="4">
        <f t="shared" si="23"/>
        <v>16.005500000000001</v>
      </c>
      <c r="X65" s="12">
        <f t="shared" si="4"/>
        <v>11.783876133360595</v>
      </c>
      <c r="Y65" s="8">
        <f t="shared" si="8"/>
        <v>170.23448347468764</v>
      </c>
      <c r="Z65" s="9">
        <f t="shared" si="17"/>
        <v>4.3130859547721306E-2</v>
      </c>
      <c r="AA65" s="8">
        <f t="shared" si="18"/>
        <v>3776.6955165253121</v>
      </c>
    </row>
    <row r="66" spans="1:27" x14ac:dyDescent="0.25">
      <c r="A66">
        <v>1</v>
      </c>
      <c r="B66" t="s">
        <v>14</v>
      </c>
      <c r="C66" t="s">
        <v>12</v>
      </c>
      <c r="D66" t="s">
        <v>209</v>
      </c>
      <c r="E66">
        <v>20913</v>
      </c>
      <c r="F66" t="s">
        <v>184</v>
      </c>
      <c r="G66">
        <v>25253</v>
      </c>
      <c r="H66" s="3">
        <v>152.5</v>
      </c>
      <c r="I66" s="3">
        <v>142</v>
      </c>
      <c r="J66" s="3">
        <v>6466.5</v>
      </c>
      <c r="K66" s="2">
        <v>46129</v>
      </c>
      <c r="L66" s="5"/>
      <c r="M66" s="7"/>
      <c r="N66" s="5">
        <v>611524</v>
      </c>
      <c r="O66" s="7">
        <v>198.25</v>
      </c>
      <c r="P66" s="7">
        <f t="shared" si="21"/>
        <v>11.717877988029301</v>
      </c>
      <c r="Q66" t="s">
        <v>98</v>
      </c>
      <c r="R66" t="s">
        <v>138</v>
      </c>
      <c r="S66" s="8">
        <f t="shared" ref="S66:S97" si="24">SUM(M66+O66+P66)</f>
        <v>209.9678779880293</v>
      </c>
      <c r="T66" s="8">
        <f t="shared" ref="T66:T97" si="25">SUM(M66+O66+P66)/H66</f>
        <v>1.3768385441837987</v>
      </c>
      <c r="U66" s="8">
        <f t="shared" ref="U66:U97" si="26">SUM(M66+O66+P66)/I66</f>
        <v>1.4786470280847135</v>
      </c>
      <c r="V66" s="8">
        <f t="shared" si="22"/>
        <v>20.750299065102631</v>
      </c>
      <c r="W66" s="4">
        <f t="shared" si="23"/>
        <v>25.925000000000001</v>
      </c>
      <c r="X66" s="12">
        <f t="shared" si="4"/>
        <v>19.08700064086554</v>
      </c>
      <c r="Y66" s="8">
        <f t="shared" si="8"/>
        <v>275.73017769399746</v>
      </c>
      <c r="Z66" s="9">
        <f t="shared" ref="Z66:Z97" si="27">Y66/J66</f>
        <v>4.2639786235830431E-2</v>
      </c>
      <c r="AA66" s="8">
        <f t="shared" ref="AA66:AA97" si="28">J66-Y66</f>
        <v>6190.7698223060024</v>
      </c>
    </row>
    <row r="67" spans="1:27" x14ac:dyDescent="0.25">
      <c r="A67">
        <v>2</v>
      </c>
      <c r="B67" t="s">
        <v>14</v>
      </c>
      <c r="C67" t="s">
        <v>33</v>
      </c>
      <c r="D67" t="s">
        <v>209</v>
      </c>
      <c r="E67">
        <v>3177</v>
      </c>
      <c r="F67" t="s">
        <v>181</v>
      </c>
      <c r="G67">
        <v>25302</v>
      </c>
      <c r="H67" s="3">
        <v>148.75</v>
      </c>
      <c r="I67" s="3">
        <v>140</v>
      </c>
      <c r="J67" s="3">
        <v>5425</v>
      </c>
      <c r="K67" s="2">
        <v>46132</v>
      </c>
      <c r="L67" s="5"/>
      <c r="M67" s="7"/>
      <c r="N67" s="5"/>
      <c r="O67" s="7">
        <v>193.375</v>
      </c>
      <c r="P67" s="7">
        <f t="shared" si="21"/>
        <v>11.429733447340055</v>
      </c>
      <c r="Q67" t="s">
        <v>92</v>
      </c>
      <c r="R67" t="s">
        <v>128</v>
      </c>
      <c r="S67" s="8">
        <f t="shared" si="24"/>
        <v>204.80473344734006</v>
      </c>
      <c r="T67" s="8">
        <f t="shared" si="25"/>
        <v>1.3768385441837987</v>
      </c>
      <c r="U67" s="8">
        <f t="shared" si="26"/>
        <v>1.4628909531952861</v>
      </c>
      <c r="V67" s="8">
        <f t="shared" si="22"/>
        <v>20.240045809403384</v>
      </c>
      <c r="W67" s="4">
        <f t="shared" si="23"/>
        <v>25.287500000000001</v>
      </c>
      <c r="X67" s="12">
        <f t="shared" ref="X67:X130" si="29">IFERROR(IF(D67="TRANSFERENCIA",0,H67*(SUMIF(D:D,"TRANSFERENCIA",M:M)+SUMIF(D:D,"TRANSFERENCIA",O:O))/(SUMIF(D:D,"BONIFICAÇÃO",H:H)+SUMIF(D:D,"VENDA",H:H))),0)</f>
        <v>18.617648166090159</v>
      </c>
      <c r="Y67" s="8">
        <f t="shared" ref="Y67:Y130" si="30">S67+V67+W67+X67</f>
        <v>268.94992742283358</v>
      </c>
      <c r="Z67" s="9">
        <f t="shared" si="27"/>
        <v>4.9576023488079921E-2</v>
      </c>
      <c r="AA67" s="8">
        <f t="shared" si="28"/>
        <v>5156.0500725771662</v>
      </c>
    </row>
    <row r="68" spans="1:27" x14ac:dyDescent="0.25">
      <c r="A68">
        <v>1</v>
      </c>
      <c r="B68" t="s">
        <v>14</v>
      </c>
      <c r="C68" t="s">
        <v>154</v>
      </c>
      <c r="D68" t="s">
        <v>210</v>
      </c>
      <c r="E68">
        <v>20915</v>
      </c>
      <c r="F68" t="s">
        <v>181</v>
      </c>
      <c r="G68">
        <v>25355</v>
      </c>
      <c r="H68" s="3">
        <v>61.75</v>
      </c>
      <c r="I68" s="3">
        <v>60</v>
      </c>
      <c r="J68" s="3">
        <v>194.2</v>
      </c>
      <c r="K68" s="2">
        <v>46134</v>
      </c>
      <c r="L68" s="5" t="s">
        <v>99</v>
      </c>
      <c r="M68" s="7"/>
      <c r="N68" s="5"/>
      <c r="O68" s="7">
        <v>80.275000000000006</v>
      </c>
      <c r="P68" s="7">
        <f t="shared" si="21"/>
        <v>4.7447801033495693</v>
      </c>
      <c r="Q68" t="s">
        <v>88</v>
      </c>
      <c r="R68" t="s">
        <v>17</v>
      </c>
      <c r="S68" s="8">
        <f t="shared" si="24"/>
        <v>85.019780103349575</v>
      </c>
      <c r="T68" s="8">
        <f t="shared" si="25"/>
        <v>1.3768385441837987</v>
      </c>
      <c r="U68" s="8">
        <f t="shared" si="26"/>
        <v>1.4169963350558263</v>
      </c>
      <c r="V68" s="8">
        <f t="shared" si="22"/>
        <v>8.4021702771809004</v>
      </c>
      <c r="W68" s="4">
        <f t="shared" si="23"/>
        <v>10.4975</v>
      </c>
      <c r="X68" s="12">
        <f t="shared" si="29"/>
        <v>7.7286707513012924</v>
      </c>
      <c r="Y68" s="8">
        <f t="shared" si="30"/>
        <v>111.64812113183177</v>
      </c>
      <c r="Z68" s="9">
        <f t="shared" si="27"/>
        <v>0.57491308512786699</v>
      </c>
      <c r="AA68" s="8">
        <f t="shared" si="28"/>
        <v>82.551878868168217</v>
      </c>
    </row>
    <row r="69" spans="1:27" x14ac:dyDescent="0.25">
      <c r="A69">
        <v>2</v>
      </c>
      <c r="B69" t="s">
        <v>14</v>
      </c>
      <c r="C69" t="s">
        <v>37</v>
      </c>
      <c r="D69" t="s">
        <v>209</v>
      </c>
      <c r="E69">
        <v>3179</v>
      </c>
      <c r="F69" t="s">
        <v>180</v>
      </c>
      <c r="G69">
        <v>25398</v>
      </c>
      <c r="H69" s="3">
        <v>5480.5</v>
      </c>
      <c r="I69" s="3">
        <v>5288</v>
      </c>
      <c r="J69" s="3">
        <v>60280</v>
      </c>
      <c r="K69" s="2">
        <v>46134</v>
      </c>
      <c r="L69" s="5">
        <v>31</v>
      </c>
      <c r="M69" s="7">
        <v>1055.5108115206187</v>
      </c>
      <c r="N69" s="5"/>
      <c r="O69" s="7"/>
      <c r="P69" s="7"/>
      <c r="Q69" t="s">
        <v>38</v>
      </c>
      <c r="R69" t="s">
        <v>17</v>
      </c>
      <c r="S69" s="8">
        <f t="shared" si="24"/>
        <v>1055.5108115206187</v>
      </c>
      <c r="T69" s="8">
        <f t="shared" si="25"/>
        <v>0.19259388952114201</v>
      </c>
      <c r="U69" s="8">
        <f t="shared" si="26"/>
        <v>0.19960491897137267</v>
      </c>
      <c r="V69" s="8"/>
      <c r="W69" s="4">
        <v>0</v>
      </c>
      <c r="X69" s="12">
        <f t="shared" si="29"/>
        <v>685.94299680172844</v>
      </c>
      <c r="Y69" s="8">
        <f t="shared" si="30"/>
        <v>1741.4538083223472</v>
      </c>
      <c r="Z69" s="9">
        <f t="shared" si="27"/>
        <v>2.8889412878605625E-2</v>
      </c>
      <c r="AA69" s="8">
        <f t="shared" si="28"/>
        <v>58538.546191677655</v>
      </c>
    </row>
    <row r="70" spans="1:27" x14ac:dyDescent="0.25">
      <c r="A70">
        <v>2</v>
      </c>
      <c r="B70" t="s">
        <v>14</v>
      </c>
      <c r="C70" t="s">
        <v>37</v>
      </c>
      <c r="D70" t="s">
        <v>209</v>
      </c>
      <c r="E70">
        <v>3180</v>
      </c>
      <c r="F70" t="s">
        <v>180</v>
      </c>
      <c r="G70">
        <v>25399</v>
      </c>
      <c r="H70" s="3">
        <v>231</v>
      </c>
      <c r="I70" s="3">
        <v>210</v>
      </c>
      <c r="J70" s="3">
        <v>3032.7</v>
      </c>
      <c r="K70" s="2">
        <v>46134</v>
      </c>
      <c r="L70" s="5">
        <v>31</v>
      </c>
      <c r="M70" s="7">
        <v>44.489188479383806</v>
      </c>
      <c r="N70" s="5"/>
      <c r="O70" s="7"/>
      <c r="P70" s="7"/>
      <c r="Q70" t="s">
        <v>38</v>
      </c>
      <c r="R70" t="s">
        <v>17</v>
      </c>
      <c r="S70" s="8">
        <f t="shared" si="24"/>
        <v>44.489188479383806</v>
      </c>
      <c r="T70" s="8">
        <f t="shared" si="25"/>
        <v>0.19259388952114201</v>
      </c>
      <c r="U70" s="8">
        <f t="shared" si="26"/>
        <v>0.21185327847325622</v>
      </c>
      <c r="V70" s="8"/>
      <c r="W70" s="4">
        <v>0</v>
      </c>
      <c r="X70" s="12">
        <f t="shared" si="29"/>
        <v>28.91211244616354</v>
      </c>
      <c r="Y70" s="8">
        <f t="shared" si="30"/>
        <v>73.401300925547346</v>
      </c>
      <c r="Z70" s="9">
        <f t="shared" si="27"/>
        <v>2.4203284507385285E-2</v>
      </c>
      <c r="AA70" s="8">
        <f t="shared" si="28"/>
        <v>2959.2986990744525</v>
      </c>
    </row>
    <row r="71" spans="1:27" x14ac:dyDescent="0.25">
      <c r="A71">
        <v>1</v>
      </c>
      <c r="B71" t="s">
        <v>14</v>
      </c>
      <c r="C71" t="s">
        <v>18</v>
      </c>
      <c r="D71" t="s">
        <v>206</v>
      </c>
      <c r="E71">
        <v>20918</v>
      </c>
      <c r="F71" t="s">
        <v>181</v>
      </c>
      <c r="G71">
        <v>25440</v>
      </c>
      <c r="H71" s="3">
        <v>5487.35</v>
      </c>
      <c r="I71" s="3">
        <v>5135.6000000000004</v>
      </c>
      <c r="J71" s="3">
        <v>41779.07</v>
      </c>
      <c r="K71" s="2">
        <v>46135</v>
      </c>
      <c r="L71" s="5"/>
      <c r="M71" s="7"/>
      <c r="N71" s="5">
        <v>614561</v>
      </c>
      <c r="O71" s="7">
        <v>1100</v>
      </c>
      <c r="P71" s="7"/>
      <c r="Q71" t="s">
        <v>19</v>
      </c>
      <c r="R71" t="s">
        <v>206</v>
      </c>
      <c r="S71" s="8">
        <f t="shared" si="24"/>
        <v>1100</v>
      </c>
      <c r="T71" s="8">
        <f t="shared" si="25"/>
        <v>0.20046106043900971</v>
      </c>
      <c r="U71" s="8">
        <f t="shared" si="26"/>
        <v>0.2141911363813381</v>
      </c>
      <c r="V71" s="8"/>
      <c r="X71" s="12">
        <f t="shared" si="29"/>
        <v>0</v>
      </c>
      <c r="Y71" s="8">
        <v>0</v>
      </c>
      <c r="Z71" s="9">
        <f t="shared" si="27"/>
        <v>0</v>
      </c>
      <c r="AA71" s="8">
        <f t="shared" si="28"/>
        <v>41779.07</v>
      </c>
    </row>
    <row r="72" spans="1:27" x14ac:dyDescent="0.25">
      <c r="A72">
        <v>1</v>
      </c>
      <c r="B72" t="s">
        <v>14</v>
      </c>
      <c r="C72" t="s">
        <v>12</v>
      </c>
      <c r="D72" t="s">
        <v>209</v>
      </c>
      <c r="E72">
        <v>20919</v>
      </c>
      <c r="F72" t="s">
        <v>181</v>
      </c>
      <c r="G72">
        <v>25475</v>
      </c>
      <c r="H72" s="3">
        <v>94.15</v>
      </c>
      <c r="I72" s="3">
        <v>88.2</v>
      </c>
      <c r="J72" s="3">
        <v>3946.93</v>
      </c>
      <c r="K72" s="2">
        <v>46135</v>
      </c>
      <c r="L72" s="5"/>
      <c r="M72" s="7"/>
      <c r="N72" s="5"/>
      <c r="O72" s="7">
        <v>122.39500000000001</v>
      </c>
      <c r="P72" s="7">
        <f t="shared" ref="P72:P95" si="31">0.0768385441837987*H72</f>
        <v>7.2343489349046477</v>
      </c>
      <c r="Q72" t="s">
        <v>152</v>
      </c>
      <c r="R72" t="s">
        <v>128</v>
      </c>
      <c r="S72" s="8">
        <f t="shared" si="24"/>
        <v>129.62934893490467</v>
      </c>
      <c r="T72" s="8">
        <f t="shared" si="25"/>
        <v>1.3768385441837989</v>
      </c>
      <c r="U72" s="8">
        <f t="shared" si="26"/>
        <v>1.4697205094660393</v>
      </c>
      <c r="V72" s="8">
        <f t="shared" ref="V72:V98" si="32">H72*0.136067534853132</f>
        <v>12.810758406422378</v>
      </c>
      <c r="W72" s="4">
        <f t="shared" ref="W72:W98" si="33">H72*0.17</f>
        <v>16.005500000000001</v>
      </c>
      <c r="X72" s="12">
        <f t="shared" si="29"/>
        <v>11.783876133360595</v>
      </c>
      <c r="Y72" s="8">
        <f t="shared" si="30"/>
        <v>170.22948347468764</v>
      </c>
      <c r="Z72" s="9">
        <f t="shared" si="27"/>
        <v>4.3129592740354564E-2</v>
      </c>
      <c r="AA72" s="8">
        <f t="shared" si="28"/>
        <v>3776.7005165253122</v>
      </c>
    </row>
    <row r="73" spans="1:27" x14ac:dyDescent="0.25">
      <c r="A73">
        <v>2</v>
      </c>
      <c r="B73" t="s">
        <v>14</v>
      </c>
      <c r="C73" t="s">
        <v>31</v>
      </c>
      <c r="D73" t="s">
        <v>209</v>
      </c>
      <c r="E73">
        <v>3183</v>
      </c>
      <c r="F73" t="s">
        <v>175</v>
      </c>
      <c r="G73">
        <v>25528</v>
      </c>
      <c r="H73" s="3">
        <v>271.75</v>
      </c>
      <c r="I73" s="3">
        <v>256</v>
      </c>
      <c r="J73" s="3">
        <v>11848.1</v>
      </c>
      <c r="K73" s="2">
        <v>46136</v>
      </c>
      <c r="L73" s="5"/>
      <c r="M73" s="7"/>
      <c r="N73" s="5">
        <v>614513</v>
      </c>
      <c r="O73" s="7">
        <v>353.27500000000003</v>
      </c>
      <c r="P73" s="7">
        <f t="shared" si="31"/>
        <v>20.880874381947294</v>
      </c>
      <c r="Q73" t="s">
        <v>48</v>
      </c>
      <c r="R73" t="s">
        <v>128</v>
      </c>
      <c r="S73" s="8">
        <f t="shared" si="24"/>
        <v>374.15587438194734</v>
      </c>
      <c r="T73" s="8">
        <f t="shared" si="25"/>
        <v>1.3768385441837989</v>
      </c>
      <c r="U73" s="8">
        <f t="shared" si="26"/>
        <v>1.4615463843044818</v>
      </c>
      <c r="V73" s="8">
        <f t="shared" si="32"/>
        <v>36.976352596338621</v>
      </c>
      <c r="W73" s="4">
        <f t="shared" si="33"/>
        <v>46.197500000000005</v>
      </c>
      <c r="X73" s="12">
        <f t="shared" si="29"/>
        <v>34.012409338722691</v>
      </c>
      <c r="Y73" s="8">
        <f t="shared" si="30"/>
        <v>491.34213631700868</v>
      </c>
      <c r="Z73" s="9">
        <f t="shared" si="27"/>
        <v>4.14701206368117E-2</v>
      </c>
      <c r="AA73" s="8">
        <f t="shared" si="28"/>
        <v>11356.757863682991</v>
      </c>
    </row>
    <row r="74" spans="1:27" x14ac:dyDescent="0.25">
      <c r="A74">
        <v>2</v>
      </c>
      <c r="B74" t="s">
        <v>14</v>
      </c>
      <c r="C74" t="s">
        <v>33</v>
      </c>
      <c r="D74" t="s">
        <v>209</v>
      </c>
      <c r="E74">
        <v>3184</v>
      </c>
      <c r="F74" t="s">
        <v>182</v>
      </c>
      <c r="G74">
        <v>25529</v>
      </c>
      <c r="H74" s="3">
        <v>195.25</v>
      </c>
      <c r="I74" s="3">
        <v>183</v>
      </c>
      <c r="J74" s="3">
        <v>7800</v>
      </c>
      <c r="K74" s="2">
        <v>46136</v>
      </c>
      <c r="L74" s="5"/>
      <c r="M74" s="7"/>
      <c r="N74" s="5">
        <v>614514</v>
      </c>
      <c r="O74" s="7">
        <v>253.82500000000002</v>
      </c>
      <c r="P74" s="7">
        <f t="shared" si="31"/>
        <v>15.002725751886695</v>
      </c>
      <c r="Q74" t="s">
        <v>135</v>
      </c>
      <c r="R74" t="s">
        <v>129</v>
      </c>
      <c r="S74" s="8">
        <f t="shared" si="24"/>
        <v>268.8277257518867</v>
      </c>
      <c r="T74" s="8">
        <f t="shared" si="25"/>
        <v>1.3768385441837987</v>
      </c>
      <c r="U74" s="8">
        <f t="shared" si="26"/>
        <v>1.4690039658573044</v>
      </c>
      <c r="V74" s="8">
        <f t="shared" si="32"/>
        <v>26.567186180074025</v>
      </c>
      <c r="W74" s="4">
        <f t="shared" si="33"/>
        <v>33.192500000000003</v>
      </c>
      <c r="X74" s="12">
        <f t="shared" si="29"/>
        <v>24.437618853304897</v>
      </c>
      <c r="Y74" s="8">
        <f t="shared" si="30"/>
        <v>353.02503078526564</v>
      </c>
      <c r="Z74" s="9">
        <f t="shared" si="27"/>
        <v>4.525961933144431E-2</v>
      </c>
      <c r="AA74" s="8">
        <f t="shared" si="28"/>
        <v>7446.9749692147343</v>
      </c>
    </row>
    <row r="75" spans="1:27" x14ac:dyDescent="0.25">
      <c r="A75">
        <v>2</v>
      </c>
      <c r="B75" t="s">
        <v>14</v>
      </c>
      <c r="C75" t="s">
        <v>33</v>
      </c>
      <c r="D75" t="s">
        <v>209</v>
      </c>
      <c r="E75">
        <v>3185</v>
      </c>
      <c r="F75" t="s">
        <v>183</v>
      </c>
      <c r="G75">
        <v>25530</v>
      </c>
      <c r="H75" s="3">
        <v>247.5</v>
      </c>
      <c r="I75" s="3">
        <v>230</v>
      </c>
      <c r="J75" s="3">
        <v>10010</v>
      </c>
      <c r="K75" s="2">
        <v>46136</v>
      </c>
      <c r="L75" s="5"/>
      <c r="M75" s="7"/>
      <c r="N75" s="5">
        <v>614515</v>
      </c>
      <c r="O75" s="7">
        <v>321.75</v>
      </c>
      <c r="P75" s="7">
        <f t="shared" si="31"/>
        <v>19.017539685490178</v>
      </c>
      <c r="Q75" t="s">
        <v>90</v>
      </c>
      <c r="R75" t="s">
        <v>129</v>
      </c>
      <c r="S75" s="8">
        <f t="shared" si="24"/>
        <v>340.76753968549019</v>
      </c>
      <c r="T75" s="8">
        <f t="shared" si="25"/>
        <v>1.3768385441837987</v>
      </c>
      <c r="U75" s="8">
        <f t="shared" si="26"/>
        <v>1.481597998632566</v>
      </c>
      <c r="V75" s="8">
        <f t="shared" si="32"/>
        <v>33.676714876150172</v>
      </c>
      <c r="W75" s="4">
        <f t="shared" si="33"/>
        <v>42.075000000000003</v>
      </c>
      <c r="X75" s="12">
        <f t="shared" si="29"/>
        <v>30.97726333517522</v>
      </c>
      <c r="Y75" s="8">
        <f t="shared" si="30"/>
        <v>447.49651789681559</v>
      </c>
      <c r="Z75" s="9">
        <f t="shared" si="27"/>
        <v>4.4704946842838718E-2</v>
      </c>
      <c r="AA75" s="8">
        <f t="shared" si="28"/>
        <v>9562.5034821031841</v>
      </c>
    </row>
    <row r="76" spans="1:27" x14ac:dyDescent="0.25">
      <c r="A76">
        <v>2</v>
      </c>
      <c r="B76" t="s">
        <v>14</v>
      </c>
      <c r="C76" t="s">
        <v>29</v>
      </c>
      <c r="D76" t="s">
        <v>209</v>
      </c>
      <c r="E76">
        <v>3186</v>
      </c>
      <c r="F76" t="s">
        <v>176</v>
      </c>
      <c r="G76">
        <v>25531</v>
      </c>
      <c r="H76" s="3">
        <v>119</v>
      </c>
      <c r="I76" s="3">
        <v>112</v>
      </c>
      <c r="J76" s="3">
        <v>4931.5</v>
      </c>
      <c r="K76" s="2">
        <v>46136</v>
      </c>
      <c r="L76" s="5"/>
      <c r="M76" s="7"/>
      <c r="N76" s="5">
        <v>614516</v>
      </c>
      <c r="O76" s="7">
        <v>154.70000000000002</v>
      </c>
      <c r="P76" s="7">
        <f t="shared" si="31"/>
        <v>9.1437867578720446</v>
      </c>
      <c r="Q76" t="s">
        <v>30</v>
      </c>
      <c r="R76" t="s">
        <v>129</v>
      </c>
      <c r="S76" s="8">
        <f t="shared" si="24"/>
        <v>163.84378675787207</v>
      </c>
      <c r="T76" s="8">
        <f t="shared" si="25"/>
        <v>1.3768385441837989</v>
      </c>
      <c r="U76" s="8">
        <f t="shared" si="26"/>
        <v>1.4628909531952863</v>
      </c>
      <c r="V76" s="8">
        <f t="shared" si="32"/>
        <v>16.192036647522709</v>
      </c>
      <c r="W76" s="4">
        <f t="shared" si="33"/>
        <v>20.23</v>
      </c>
      <c r="X76" s="12">
        <f t="shared" si="29"/>
        <v>14.894118532872126</v>
      </c>
      <c r="Y76" s="8">
        <f t="shared" si="30"/>
        <v>215.15994193826688</v>
      </c>
      <c r="Z76" s="9">
        <f t="shared" si="27"/>
        <v>4.3629715489864523E-2</v>
      </c>
      <c r="AA76" s="8">
        <f t="shared" si="28"/>
        <v>4716.3400580617335</v>
      </c>
    </row>
    <row r="77" spans="1:27" x14ac:dyDescent="0.25">
      <c r="A77">
        <v>2</v>
      </c>
      <c r="B77" t="s">
        <v>14</v>
      </c>
      <c r="C77" t="s">
        <v>33</v>
      </c>
      <c r="D77" t="s">
        <v>209</v>
      </c>
      <c r="E77">
        <v>3187</v>
      </c>
      <c r="F77" t="s">
        <v>183</v>
      </c>
      <c r="G77">
        <v>25532</v>
      </c>
      <c r="H77" s="3">
        <v>165.2</v>
      </c>
      <c r="I77" s="3">
        <v>154</v>
      </c>
      <c r="J77" s="3">
        <v>6794</v>
      </c>
      <c r="K77" s="2">
        <v>46136</v>
      </c>
      <c r="L77" s="5"/>
      <c r="M77" s="7"/>
      <c r="N77" s="5">
        <v>614517</v>
      </c>
      <c r="O77" s="7">
        <v>214.76</v>
      </c>
      <c r="P77" s="7">
        <f t="shared" si="31"/>
        <v>12.693727499163543</v>
      </c>
      <c r="Q77" t="s">
        <v>136</v>
      </c>
      <c r="R77" t="s">
        <v>129</v>
      </c>
      <c r="S77" s="8">
        <f t="shared" si="24"/>
        <v>227.45372749916353</v>
      </c>
      <c r="T77" s="8">
        <f t="shared" si="25"/>
        <v>1.3768385441837987</v>
      </c>
      <c r="U77" s="8">
        <f t="shared" si="26"/>
        <v>1.476972256488075</v>
      </c>
      <c r="V77" s="8">
        <f t="shared" si="32"/>
        <v>22.478356757737405</v>
      </c>
      <c r="W77" s="4">
        <f t="shared" si="33"/>
        <v>28.084</v>
      </c>
      <c r="X77" s="12">
        <f t="shared" si="29"/>
        <v>20.676541022104836</v>
      </c>
      <c r="Y77" s="8">
        <f t="shared" si="30"/>
        <v>298.69262527900577</v>
      </c>
      <c r="Z77" s="9">
        <f t="shared" si="27"/>
        <v>4.396417799219985E-2</v>
      </c>
      <c r="AA77" s="8">
        <f t="shared" si="28"/>
        <v>6495.3073747209946</v>
      </c>
    </row>
    <row r="78" spans="1:27" x14ac:dyDescent="0.25">
      <c r="A78">
        <v>2</v>
      </c>
      <c r="B78" t="s">
        <v>14</v>
      </c>
      <c r="C78" t="s">
        <v>31</v>
      </c>
      <c r="D78" t="s">
        <v>209</v>
      </c>
      <c r="E78">
        <v>3188</v>
      </c>
      <c r="F78" t="s">
        <v>159</v>
      </c>
      <c r="G78">
        <v>25533</v>
      </c>
      <c r="H78" s="3">
        <v>152.75</v>
      </c>
      <c r="I78" s="3">
        <v>144</v>
      </c>
      <c r="J78" s="3">
        <v>5633.1</v>
      </c>
      <c r="K78" s="2">
        <v>46136</v>
      </c>
      <c r="L78" s="5"/>
      <c r="M78" s="7"/>
      <c r="N78" s="5">
        <v>614518</v>
      </c>
      <c r="O78" s="7">
        <v>198.57500000000002</v>
      </c>
      <c r="P78" s="7">
        <f t="shared" si="31"/>
        <v>11.737087624075251</v>
      </c>
      <c r="Q78" t="s">
        <v>112</v>
      </c>
      <c r="R78" t="s">
        <v>128</v>
      </c>
      <c r="S78" s="8">
        <f t="shared" si="24"/>
        <v>210.31208762407528</v>
      </c>
      <c r="T78" s="8">
        <f t="shared" si="25"/>
        <v>1.3768385441837989</v>
      </c>
      <c r="U78" s="8">
        <f t="shared" si="26"/>
        <v>1.4605006085005228</v>
      </c>
      <c r="V78" s="8">
        <f t="shared" si="32"/>
        <v>20.784315948815912</v>
      </c>
      <c r="W78" s="4">
        <f t="shared" si="33"/>
        <v>25.967500000000001</v>
      </c>
      <c r="X78" s="12">
        <f t="shared" si="29"/>
        <v>19.118290805850567</v>
      </c>
      <c r="Y78" s="8">
        <f t="shared" si="30"/>
        <v>276.18219437874171</v>
      </c>
      <c r="Z78" s="9">
        <f t="shared" si="27"/>
        <v>4.9028455802087964E-2</v>
      </c>
      <c r="AA78" s="8">
        <f t="shared" si="28"/>
        <v>5356.9178056212586</v>
      </c>
    </row>
    <row r="79" spans="1:27" x14ac:dyDescent="0.25">
      <c r="A79">
        <v>2</v>
      </c>
      <c r="B79" t="s">
        <v>14</v>
      </c>
      <c r="C79" t="s">
        <v>33</v>
      </c>
      <c r="D79" t="s">
        <v>209</v>
      </c>
      <c r="E79">
        <v>3189</v>
      </c>
      <c r="F79" t="s">
        <v>184</v>
      </c>
      <c r="G79">
        <v>25534</v>
      </c>
      <c r="H79" s="3">
        <v>242</v>
      </c>
      <c r="I79" s="3">
        <v>228</v>
      </c>
      <c r="J79" s="3">
        <v>9000</v>
      </c>
      <c r="K79" s="2">
        <v>46136</v>
      </c>
      <c r="L79" s="5"/>
      <c r="M79" s="7"/>
      <c r="N79" s="5">
        <v>614519</v>
      </c>
      <c r="O79" s="7">
        <v>314.60000000000002</v>
      </c>
      <c r="P79" s="7">
        <f t="shared" si="31"/>
        <v>18.594927692479285</v>
      </c>
      <c r="Q79" t="s">
        <v>51</v>
      </c>
      <c r="R79" t="s">
        <v>138</v>
      </c>
      <c r="S79" s="8">
        <f t="shared" si="24"/>
        <v>333.19492769247933</v>
      </c>
      <c r="T79" s="8">
        <f t="shared" si="25"/>
        <v>1.3768385441837989</v>
      </c>
      <c r="U79" s="8">
        <f t="shared" si="26"/>
        <v>1.4613812618091198</v>
      </c>
      <c r="V79" s="8">
        <f t="shared" si="32"/>
        <v>32.928343434457943</v>
      </c>
      <c r="W79" s="4">
        <f t="shared" si="33"/>
        <v>41.14</v>
      </c>
      <c r="X79" s="12">
        <f t="shared" si="29"/>
        <v>30.288879705504662</v>
      </c>
      <c r="Y79" s="8">
        <f t="shared" si="30"/>
        <v>437.5521508324419</v>
      </c>
      <c r="Z79" s="9">
        <f t="shared" si="27"/>
        <v>4.8616905648049102E-2</v>
      </c>
      <c r="AA79" s="8">
        <f t="shared" si="28"/>
        <v>8562.4478491675582</v>
      </c>
    </row>
    <row r="80" spans="1:27" x14ac:dyDescent="0.25">
      <c r="A80">
        <v>2</v>
      </c>
      <c r="B80" t="s">
        <v>14</v>
      </c>
      <c r="C80" t="s">
        <v>33</v>
      </c>
      <c r="D80" t="s">
        <v>209</v>
      </c>
      <c r="E80">
        <v>3190</v>
      </c>
      <c r="F80" t="s">
        <v>181</v>
      </c>
      <c r="G80">
        <v>25535</v>
      </c>
      <c r="H80" s="3">
        <v>59.5</v>
      </c>
      <c r="I80" s="3">
        <v>56</v>
      </c>
      <c r="J80" s="3">
        <v>2690</v>
      </c>
      <c r="K80" s="2">
        <v>46136</v>
      </c>
      <c r="L80" s="5"/>
      <c r="M80" s="7"/>
      <c r="N80" s="5">
        <v>614520</v>
      </c>
      <c r="O80" s="7">
        <v>77.350000000000009</v>
      </c>
      <c r="P80" s="7">
        <f t="shared" si="31"/>
        <v>4.5718933789360223</v>
      </c>
      <c r="Q80" t="s">
        <v>92</v>
      </c>
      <c r="R80" t="s">
        <v>128</v>
      </c>
      <c r="S80" s="8">
        <f t="shared" si="24"/>
        <v>81.921893378936034</v>
      </c>
      <c r="T80" s="8">
        <f t="shared" si="25"/>
        <v>1.3768385441837989</v>
      </c>
      <c r="U80" s="8">
        <f t="shared" si="26"/>
        <v>1.4628909531952863</v>
      </c>
      <c r="V80" s="8">
        <f t="shared" si="32"/>
        <v>8.0960183237613546</v>
      </c>
      <c r="W80" s="4">
        <f t="shared" si="33"/>
        <v>10.115</v>
      </c>
      <c r="X80" s="12">
        <f t="shared" si="29"/>
        <v>7.4470592664360629</v>
      </c>
      <c r="Y80" s="8">
        <f t="shared" si="30"/>
        <v>107.57997096913344</v>
      </c>
      <c r="Z80" s="9">
        <f t="shared" si="27"/>
        <v>3.9992554263618377E-2</v>
      </c>
      <c r="AA80" s="8">
        <f t="shared" si="28"/>
        <v>2582.4200290308668</v>
      </c>
    </row>
    <row r="81" spans="1:27" x14ac:dyDescent="0.25">
      <c r="A81">
        <v>2</v>
      </c>
      <c r="B81" t="s">
        <v>14</v>
      </c>
      <c r="C81" t="s">
        <v>33</v>
      </c>
      <c r="D81" t="s">
        <v>209</v>
      </c>
      <c r="E81">
        <v>3191</v>
      </c>
      <c r="F81" t="s">
        <v>184</v>
      </c>
      <c r="G81">
        <v>25536</v>
      </c>
      <c r="H81" s="3">
        <v>99.35</v>
      </c>
      <c r="I81" s="3">
        <v>92</v>
      </c>
      <c r="J81" s="3">
        <v>3907</v>
      </c>
      <c r="K81" s="2">
        <v>46136</v>
      </c>
      <c r="L81" s="5"/>
      <c r="M81" s="7"/>
      <c r="N81" s="5">
        <v>614521</v>
      </c>
      <c r="O81" s="7">
        <v>129.155</v>
      </c>
      <c r="P81" s="7">
        <f t="shared" si="31"/>
        <v>7.6339093646603997</v>
      </c>
      <c r="Q81" t="s">
        <v>35</v>
      </c>
      <c r="R81" t="s">
        <v>138</v>
      </c>
      <c r="S81" s="8">
        <f t="shared" si="24"/>
        <v>136.78890936466041</v>
      </c>
      <c r="T81" s="8">
        <f t="shared" si="25"/>
        <v>1.3768385441837989</v>
      </c>
      <c r="U81" s="8">
        <f t="shared" si="26"/>
        <v>1.4868359713550046</v>
      </c>
      <c r="V81" s="8">
        <f t="shared" si="32"/>
        <v>13.518309587658663</v>
      </c>
      <c r="W81" s="4">
        <f t="shared" si="33"/>
        <v>16.889500000000002</v>
      </c>
      <c r="X81" s="12">
        <f t="shared" si="29"/>
        <v>12.434711565049124</v>
      </c>
      <c r="Y81" s="8">
        <f t="shared" si="30"/>
        <v>179.63143051736822</v>
      </c>
      <c r="Z81" s="9">
        <f t="shared" si="27"/>
        <v>4.5976818663262919E-2</v>
      </c>
      <c r="AA81" s="8">
        <f t="shared" si="28"/>
        <v>3727.3685694826318</v>
      </c>
    </row>
    <row r="82" spans="1:27" x14ac:dyDescent="0.25">
      <c r="A82">
        <v>2</v>
      </c>
      <c r="B82" t="s">
        <v>14</v>
      </c>
      <c r="C82" t="s">
        <v>33</v>
      </c>
      <c r="D82" t="s">
        <v>209</v>
      </c>
      <c r="E82">
        <v>3192</v>
      </c>
      <c r="F82" t="s">
        <v>159</v>
      </c>
      <c r="G82">
        <v>25537</v>
      </c>
      <c r="H82" s="3">
        <v>93</v>
      </c>
      <c r="I82" s="3">
        <v>86</v>
      </c>
      <c r="J82" s="3">
        <v>3970</v>
      </c>
      <c r="K82" s="2">
        <v>46136</v>
      </c>
      <c r="L82" s="5"/>
      <c r="M82" s="7"/>
      <c r="N82" s="5">
        <v>614522</v>
      </c>
      <c r="O82" s="7">
        <v>120.9</v>
      </c>
      <c r="P82" s="7">
        <f t="shared" si="31"/>
        <v>7.1459846090932784</v>
      </c>
      <c r="Q82" t="s">
        <v>134</v>
      </c>
      <c r="R82" t="s">
        <v>128</v>
      </c>
      <c r="S82" s="8">
        <f t="shared" si="24"/>
        <v>128.0459846090933</v>
      </c>
      <c r="T82" s="8">
        <f t="shared" si="25"/>
        <v>1.3768385441837989</v>
      </c>
      <c r="U82" s="8">
        <f t="shared" si="26"/>
        <v>1.4889067977801547</v>
      </c>
      <c r="V82" s="8">
        <f t="shared" si="32"/>
        <v>12.654280741341276</v>
      </c>
      <c r="W82" s="4">
        <f t="shared" si="33"/>
        <v>15.81</v>
      </c>
      <c r="X82" s="12">
        <f t="shared" si="29"/>
        <v>11.639941374429478</v>
      </c>
      <c r="Y82" s="8">
        <f t="shared" si="30"/>
        <v>168.15020672486403</v>
      </c>
      <c r="Z82" s="9">
        <f t="shared" si="27"/>
        <v>4.2355215799713859E-2</v>
      </c>
      <c r="AA82" s="8">
        <f t="shared" si="28"/>
        <v>3801.8497932751361</v>
      </c>
    </row>
    <row r="83" spans="1:27" x14ac:dyDescent="0.25">
      <c r="A83">
        <v>1</v>
      </c>
      <c r="B83" t="s">
        <v>14</v>
      </c>
      <c r="C83" t="s">
        <v>12</v>
      </c>
      <c r="D83" t="s">
        <v>209</v>
      </c>
      <c r="E83">
        <v>20920</v>
      </c>
      <c r="F83" t="s">
        <v>176</v>
      </c>
      <c r="G83">
        <v>25540</v>
      </c>
      <c r="H83" s="3">
        <v>81.45</v>
      </c>
      <c r="I83" s="3">
        <v>76.2</v>
      </c>
      <c r="J83" s="3">
        <v>3468.96</v>
      </c>
      <c r="K83" s="2">
        <v>46136</v>
      </c>
      <c r="L83" s="5"/>
      <c r="M83" s="7"/>
      <c r="N83" s="5">
        <v>614525</v>
      </c>
      <c r="O83" s="7">
        <v>105.88500000000001</v>
      </c>
      <c r="P83" s="7">
        <f t="shared" si="31"/>
        <v>6.2584994237704041</v>
      </c>
      <c r="Q83" t="s">
        <v>93</v>
      </c>
      <c r="R83" t="s">
        <v>129</v>
      </c>
      <c r="S83" s="8">
        <f t="shared" si="24"/>
        <v>112.14349942377041</v>
      </c>
      <c r="T83" s="8">
        <f t="shared" si="25"/>
        <v>1.3768385441837987</v>
      </c>
      <c r="U83" s="8">
        <f t="shared" si="26"/>
        <v>1.4716994675035486</v>
      </c>
      <c r="V83" s="8">
        <f t="shared" si="32"/>
        <v>11.082700713787602</v>
      </c>
      <c r="W83" s="4">
        <f t="shared" si="33"/>
        <v>13.846500000000001</v>
      </c>
      <c r="X83" s="12">
        <f t="shared" si="29"/>
        <v>10.194335752121301</v>
      </c>
      <c r="Y83" s="8">
        <f t="shared" si="30"/>
        <v>147.26703588967931</v>
      </c>
      <c r="Z83" s="9">
        <f t="shared" si="27"/>
        <v>4.2452791582975678E-2</v>
      </c>
      <c r="AA83" s="8">
        <f t="shared" si="28"/>
        <v>3321.6929641103206</v>
      </c>
    </row>
    <row r="84" spans="1:27" x14ac:dyDescent="0.25">
      <c r="A84">
        <v>1</v>
      </c>
      <c r="B84" t="s">
        <v>14</v>
      </c>
      <c r="C84" t="s">
        <v>12</v>
      </c>
      <c r="D84" t="s">
        <v>209</v>
      </c>
      <c r="E84">
        <v>20921</v>
      </c>
      <c r="F84" t="s">
        <v>159</v>
      </c>
      <c r="G84">
        <v>25541</v>
      </c>
      <c r="H84" s="3">
        <v>122.75</v>
      </c>
      <c r="I84" s="3">
        <v>114</v>
      </c>
      <c r="J84" s="3">
        <v>5186.05</v>
      </c>
      <c r="K84" s="2">
        <v>46136</v>
      </c>
      <c r="L84" s="5"/>
      <c r="M84" s="7"/>
      <c r="N84" s="5">
        <v>614526</v>
      </c>
      <c r="O84" s="7">
        <v>159.57500000000002</v>
      </c>
      <c r="P84" s="7">
        <f t="shared" si="31"/>
        <v>9.43193129856129</v>
      </c>
      <c r="Q84" t="s">
        <v>25</v>
      </c>
      <c r="R84" t="s">
        <v>128</v>
      </c>
      <c r="S84" s="8">
        <f t="shared" si="24"/>
        <v>169.00693129856131</v>
      </c>
      <c r="T84" s="8">
        <f t="shared" si="25"/>
        <v>1.3768385441837989</v>
      </c>
      <c r="U84" s="8">
        <f t="shared" si="26"/>
        <v>1.4825169412154502</v>
      </c>
      <c r="V84" s="8">
        <f t="shared" si="32"/>
        <v>16.702289903221953</v>
      </c>
      <c r="W84" s="4">
        <f t="shared" si="33"/>
        <v>20.867500000000003</v>
      </c>
      <c r="X84" s="12">
        <f t="shared" si="29"/>
        <v>15.363471007647508</v>
      </c>
      <c r="Y84" s="8">
        <f t="shared" si="30"/>
        <v>221.94019220943079</v>
      </c>
      <c r="Z84" s="9">
        <f t="shared" si="27"/>
        <v>4.2795613657683744E-2</v>
      </c>
      <c r="AA84" s="8">
        <f t="shared" si="28"/>
        <v>4964.109807790569</v>
      </c>
    </row>
    <row r="85" spans="1:27" x14ac:dyDescent="0.25">
      <c r="A85">
        <v>1</v>
      </c>
      <c r="B85" t="s">
        <v>14</v>
      </c>
      <c r="C85" t="s">
        <v>12</v>
      </c>
      <c r="D85" t="s">
        <v>209</v>
      </c>
      <c r="E85">
        <v>20922</v>
      </c>
      <c r="F85" t="s">
        <v>184</v>
      </c>
      <c r="G85">
        <v>25542</v>
      </c>
      <c r="H85" s="3">
        <v>93</v>
      </c>
      <c r="I85" s="3">
        <v>86</v>
      </c>
      <c r="J85" s="3">
        <v>3918.15</v>
      </c>
      <c r="K85" s="2">
        <v>46136</v>
      </c>
      <c r="L85" s="5"/>
      <c r="M85" s="7"/>
      <c r="N85" s="5">
        <v>614527</v>
      </c>
      <c r="O85" s="7">
        <v>120.9</v>
      </c>
      <c r="P85" s="7">
        <f t="shared" si="31"/>
        <v>7.1459846090932784</v>
      </c>
      <c r="Q85" t="s">
        <v>55</v>
      </c>
      <c r="R85" t="s">
        <v>138</v>
      </c>
      <c r="S85" s="8">
        <f t="shared" si="24"/>
        <v>128.0459846090933</v>
      </c>
      <c r="T85" s="8">
        <f t="shared" si="25"/>
        <v>1.3768385441837989</v>
      </c>
      <c r="U85" s="8">
        <f t="shared" si="26"/>
        <v>1.4889067977801547</v>
      </c>
      <c r="V85" s="8">
        <f t="shared" si="32"/>
        <v>12.654280741341276</v>
      </c>
      <c r="W85" s="4">
        <f t="shared" si="33"/>
        <v>15.81</v>
      </c>
      <c r="X85" s="12">
        <f t="shared" si="29"/>
        <v>11.639941374429478</v>
      </c>
      <c r="Y85" s="8">
        <f t="shared" si="30"/>
        <v>168.15020672486403</v>
      </c>
      <c r="Z85" s="9">
        <f t="shared" si="27"/>
        <v>4.2915714488946065E-2</v>
      </c>
      <c r="AA85" s="8">
        <f t="shared" si="28"/>
        <v>3749.9997932751362</v>
      </c>
    </row>
    <row r="86" spans="1:27" x14ac:dyDescent="0.25">
      <c r="A86">
        <v>1</v>
      </c>
      <c r="B86" t="s">
        <v>14</v>
      </c>
      <c r="C86" t="s">
        <v>12</v>
      </c>
      <c r="D86" t="s">
        <v>209</v>
      </c>
      <c r="E86">
        <v>20923</v>
      </c>
      <c r="F86" t="s">
        <v>178</v>
      </c>
      <c r="G86">
        <v>25543</v>
      </c>
      <c r="H86" s="3">
        <v>106</v>
      </c>
      <c r="I86" s="3">
        <v>99</v>
      </c>
      <c r="J86" s="3">
        <v>4513.7</v>
      </c>
      <c r="K86" s="2">
        <v>46136</v>
      </c>
      <c r="L86" s="5"/>
      <c r="M86" s="7"/>
      <c r="N86" s="5">
        <v>614528</v>
      </c>
      <c r="O86" s="7">
        <v>137.80000000000001</v>
      </c>
      <c r="P86" s="7">
        <f t="shared" si="31"/>
        <v>8.1448856834826611</v>
      </c>
      <c r="Q86" t="s">
        <v>24</v>
      </c>
      <c r="R86" t="s">
        <v>138</v>
      </c>
      <c r="S86" s="8">
        <f t="shared" si="24"/>
        <v>145.94488568348268</v>
      </c>
      <c r="T86" s="8">
        <f t="shared" si="25"/>
        <v>1.3768385441837989</v>
      </c>
      <c r="U86" s="8">
        <f t="shared" si="26"/>
        <v>1.4741907644796231</v>
      </c>
      <c r="V86" s="8">
        <f t="shared" si="32"/>
        <v>14.423158694431992</v>
      </c>
      <c r="W86" s="4">
        <f t="shared" si="33"/>
        <v>18.02</v>
      </c>
      <c r="X86" s="12">
        <f t="shared" si="29"/>
        <v>13.267029953650802</v>
      </c>
      <c r="Y86" s="8">
        <f t="shared" si="30"/>
        <v>191.65507433156549</v>
      </c>
      <c r="Z86" s="9">
        <f t="shared" si="27"/>
        <v>4.2460747132411436E-2</v>
      </c>
      <c r="AA86" s="8">
        <f t="shared" si="28"/>
        <v>4322.0449256684342</v>
      </c>
    </row>
    <row r="87" spans="1:27" x14ac:dyDescent="0.25">
      <c r="A87">
        <v>1</v>
      </c>
      <c r="B87" t="s">
        <v>14</v>
      </c>
      <c r="C87" t="s">
        <v>12</v>
      </c>
      <c r="D87" t="s">
        <v>209</v>
      </c>
      <c r="E87">
        <v>20924</v>
      </c>
      <c r="F87" t="s">
        <v>181</v>
      </c>
      <c r="G87">
        <v>25544</v>
      </c>
      <c r="H87" s="3">
        <v>109.35</v>
      </c>
      <c r="I87" s="3">
        <v>102</v>
      </c>
      <c r="J87" s="3">
        <v>4638.13</v>
      </c>
      <c r="K87" s="2">
        <v>46136</v>
      </c>
      <c r="L87" s="5"/>
      <c r="M87" s="7"/>
      <c r="N87" s="5">
        <v>614529</v>
      </c>
      <c r="O87" s="7">
        <v>142.155</v>
      </c>
      <c r="P87" s="7">
        <f t="shared" si="31"/>
        <v>8.4022948064983858</v>
      </c>
      <c r="Q87" t="s">
        <v>145</v>
      </c>
      <c r="R87" t="s">
        <v>128</v>
      </c>
      <c r="S87" s="8">
        <f t="shared" si="24"/>
        <v>150.55729480649839</v>
      </c>
      <c r="T87" s="8">
        <f t="shared" si="25"/>
        <v>1.3768385441837987</v>
      </c>
      <c r="U87" s="8">
        <f t="shared" si="26"/>
        <v>1.4760519098676312</v>
      </c>
      <c r="V87" s="8">
        <f t="shared" si="32"/>
        <v>14.878984936189983</v>
      </c>
      <c r="W87" s="4">
        <f t="shared" si="33"/>
        <v>18.589500000000001</v>
      </c>
      <c r="X87" s="12">
        <f t="shared" si="29"/>
        <v>13.686318164450142</v>
      </c>
      <c r="Y87" s="8">
        <f t="shared" si="30"/>
        <v>197.71209790713851</v>
      </c>
      <c r="Z87" s="9">
        <f t="shared" si="27"/>
        <v>4.2627545564082617E-2</v>
      </c>
      <c r="AA87" s="8">
        <f t="shared" si="28"/>
        <v>4440.4179020928614</v>
      </c>
    </row>
    <row r="88" spans="1:27" x14ac:dyDescent="0.25">
      <c r="A88">
        <v>1</v>
      </c>
      <c r="B88" t="s">
        <v>14</v>
      </c>
      <c r="C88" t="s">
        <v>12</v>
      </c>
      <c r="D88" t="s">
        <v>209</v>
      </c>
      <c r="E88">
        <v>20925</v>
      </c>
      <c r="F88" t="s">
        <v>175</v>
      </c>
      <c r="G88">
        <v>25545</v>
      </c>
      <c r="H88" s="3">
        <v>111.95</v>
      </c>
      <c r="I88" s="3">
        <v>104.6</v>
      </c>
      <c r="J88" s="3">
        <v>4762.26</v>
      </c>
      <c r="K88" s="2">
        <v>46136</v>
      </c>
      <c r="L88" s="5"/>
      <c r="M88" s="7"/>
      <c r="N88" s="5">
        <v>614530</v>
      </c>
      <c r="O88" s="7">
        <v>145.535</v>
      </c>
      <c r="P88" s="7">
        <f t="shared" si="31"/>
        <v>8.6020750213762636</v>
      </c>
      <c r="Q88" t="s">
        <v>139</v>
      </c>
      <c r="R88" t="s">
        <v>128</v>
      </c>
      <c r="S88" s="8">
        <f t="shared" si="24"/>
        <v>154.13707502137626</v>
      </c>
      <c r="T88" s="8">
        <f t="shared" si="25"/>
        <v>1.3768385441837987</v>
      </c>
      <c r="U88" s="8">
        <f t="shared" si="26"/>
        <v>1.4735858032636355</v>
      </c>
      <c r="V88" s="8">
        <f t="shared" si="32"/>
        <v>15.232760526808129</v>
      </c>
      <c r="W88" s="4">
        <f t="shared" si="33"/>
        <v>19.031500000000001</v>
      </c>
      <c r="X88" s="12">
        <f t="shared" si="29"/>
        <v>14.011735880294408</v>
      </c>
      <c r="Y88" s="8">
        <f t="shared" si="30"/>
        <v>202.41307142847879</v>
      </c>
      <c r="Z88" s="9">
        <f t="shared" si="27"/>
        <v>4.2503574233342736E-2</v>
      </c>
      <c r="AA88" s="8">
        <f t="shared" si="28"/>
        <v>4559.8469285715219</v>
      </c>
    </row>
    <row r="89" spans="1:27" x14ac:dyDescent="0.25">
      <c r="A89">
        <v>1</v>
      </c>
      <c r="B89" t="s">
        <v>14</v>
      </c>
      <c r="C89" t="s">
        <v>12</v>
      </c>
      <c r="D89" t="s">
        <v>209</v>
      </c>
      <c r="E89">
        <v>20926</v>
      </c>
      <c r="F89" t="s">
        <v>178</v>
      </c>
      <c r="G89">
        <v>25546</v>
      </c>
      <c r="H89" s="3">
        <v>93</v>
      </c>
      <c r="I89" s="3">
        <v>86</v>
      </c>
      <c r="J89" s="3">
        <v>3918.15</v>
      </c>
      <c r="K89" s="2">
        <v>46136</v>
      </c>
      <c r="L89" s="5"/>
      <c r="M89" s="7"/>
      <c r="N89" s="5">
        <v>614531</v>
      </c>
      <c r="O89" s="7">
        <v>120.9</v>
      </c>
      <c r="P89" s="7">
        <f t="shared" si="31"/>
        <v>7.1459846090932784</v>
      </c>
      <c r="Q89" t="s">
        <v>115</v>
      </c>
      <c r="R89" t="s">
        <v>138</v>
      </c>
      <c r="S89" s="8">
        <f t="shared" si="24"/>
        <v>128.0459846090933</v>
      </c>
      <c r="T89" s="8">
        <f t="shared" si="25"/>
        <v>1.3768385441837989</v>
      </c>
      <c r="U89" s="8">
        <f t="shared" si="26"/>
        <v>1.4889067977801547</v>
      </c>
      <c r="V89" s="8">
        <f t="shared" si="32"/>
        <v>12.654280741341276</v>
      </c>
      <c r="W89" s="4">
        <f t="shared" si="33"/>
        <v>15.81</v>
      </c>
      <c r="X89" s="12">
        <f t="shared" si="29"/>
        <v>11.639941374429478</v>
      </c>
      <c r="Y89" s="8">
        <f t="shared" si="30"/>
        <v>168.15020672486403</v>
      </c>
      <c r="Z89" s="9">
        <f t="shared" si="27"/>
        <v>4.2915714488946065E-2</v>
      </c>
      <c r="AA89" s="8">
        <f t="shared" si="28"/>
        <v>3749.9997932751362</v>
      </c>
    </row>
    <row r="90" spans="1:27" x14ac:dyDescent="0.25">
      <c r="A90">
        <v>1</v>
      </c>
      <c r="B90" t="s">
        <v>14</v>
      </c>
      <c r="C90" t="s">
        <v>12</v>
      </c>
      <c r="D90" t="s">
        <v>209</v>
      </c>
      <c r="E90">
        <v>20927</v>
      </c>
      <c r="F90" t="s">
        <v>178</v>
      </c>
      <c r="G90">
        <v>25547</v>
      </c>
      <c r="H90" s="3">
        <v>93</v>
      </c>
      <c r="I90" s="3">
        <v>86</v>
      </c>
      <c r="J90" s="3">
        <v>3930.7</v>
      </c>
      <c r="K90" s="2">
        <v>46136</v>
      </c>
      <c r="L90" s="5"/>
      <c r="M90" s="7"/>
      <c r="N90" s="5">
        <v>614532</v>
      </c>
      <c r="O90" s="7">
        <v>120.9</v>
      </c>
      <c r="P90" s="7">
        <f t="shared" si="31"/>
        <v>7.1459846090932784</v>
      </c>
      <c r="Q90" t="s">
        <v>59</v>
      </c>
      <c r="R90" t="s">
        <v>138</v>
      </c>
      <c r="S90" s="8">
        <f t="shared" si="24"/>
        <v>128.0459846090933</v>
      </c>
      <c r="T90" s="8">
        <f t="shared" si="25"/>
        <v>1.3768385441837989</v>
      </c>
      <c r="U90" s="8">
        <f t="shared" si="26"/>
        <v>1.4889067977801547</v>
      </c>
      <c r="V90" s="8">
        <f t="shared" si="32"/>
        <v>12.654280741341276</v>
      </c>
      <c r="W90" s="4">
        <f t="shared" si="33"/>
        <v>15.81</v>
      </c>
      <c r="X90" s="12">
        <f t="shared" si="29"/>
        <v>11.639941374429478</v>
      </c>
      <c r="Y90" s="8">
        <f t="shared" si="30"/>
        <v>168.15020672486403</v>
      </c>
      <c r="Z90" s="9">
        <f t="shared" si="27"/>
        <v>4.2778692529285886E-2</v>
      </c>
      <c r="AA90" s="8">
        <f t="shared" si="28"/>
        <v>3762.5497932751359</v>
      </c>
    </row>
    <row r="91" spans="1:27" x14ac:dyDescent="0.25">
      <c r="A91">
        <v>1</v>
      </c>
      <c r="B91" t="s">
        <v>14</v>
      </c>
      <c r="C91" t="s">
        <v>12</v>
      </c>
      <c r="D91" t="s">
        <v>209</v>
      </c>
      <c r="E91">
        <v>20928</v>
      </c>
      <c r="F91" t="s">
        <v>178</v>
      </c>
      <c r="G91">
        <v>25548</v>
      </c>
      <c r="H91" s="3">
        <v>93</v>
      </c>
      <c r="I91" s="3">
        <v>86</v>
      </c>
      <c r="J91" s="3">
        <v>3930.7</v>
      </c>
      <c r="K91" s="2">
        <v>46136</v>
      </c>
      <c r="L91" s="5"/>
      <c r="M91" s="7"/>
      <c r="N91" s="5">
        <v>614533</v>
      </c>
      <c r="O91" s="7">
        <v>120.9</v>
      </c>
      <c r="P91" s="7">
        <f t="shared" si="31"/>
        <v>7.1459846090932784</v>
      </c>
      <c r="Q91" t="s">
        <v>116</v>
      </c>
      <c r="R91" t="s">
        <v>138</v>
      </c>
      <c r="S91" s="8">
        <f t="shared" si="24"/>
        <v>128.0459846090933</v>
      </c>
      <c r="T91" s="8">
        <f t="shared" si="25"/>
        <v>1.3768385441837989</v>
      </c>
      <c r="U91" s="8">
        <f t="shared" si="26"/>
        <v>1.4889067977801547</v>
      </c>
      <c r="V91" s="8">
        <f t="shared" si="32"/>
        <v>12.654280741341276</v>
      </c>
      <c r="W91" s="4">
        <f t="shared" si="33"/>
        <v>15.81</v>
      </c>
      <c r="X91" s="12">
        <f t="shared" si="29"/>
        <v>11.639941374429478</v>
      </c>
      <c r="Y91" s="8">
        <f t="shared" si="30"/>
        <v>168.15020672486403</v>
      </c>
      <c r="Z91" s="9">
        <f t="shared" si="27"/>
        <v>4.2778692529285886E-2</v>
      </c>
      <c r="AA91" s="8">
        <f t="shared" si="28"/>
        <v>3762.5497932751359</v>
      </c>
    </row>
    <row r="92" spans="1:27" x14ac:dyDescent="0.25">
      <c r="A92">
        <v>1</v>
      </c>
      <c r="B92" t="s">
        <v>14</v>
      </c>
      <c r="C92" t="s">
        <v>12</v>
      </c>
      <c r="D92" t="s">
        <v>209</v>
      </c>
      <c r="E92">
        <v>20929</v>
      </c>
      <c r="F92" t="s">
        <v>184</v>
      </c>
      <c r="G92">
        <v>25549</v>
      </c>
      <c r="H92" s="3">
        <v>139.5</v>
      </c>
      <c r="I92" s="3">
        <v>129</v>
      </c>
      <c r="J92" s="3">
        <v>5870.95</v>
      </c>
      <c r="K92" s="2">
        <v>46136</v>
      </c>
      <c r="L92" s="5"/>
      <c r="M92" s="7"/>
      <c r="N92" s="5">
        <v>614534</v>
      </c>
      <c r="O92" s="7">
        <v>181.35</v>
      </c>
      <c r="P92" s="7">
        <f t="shared" si="31"/>
        <v>10.718976913639917</v>
      </c>
      <c r="Q92" t="s">
        <v>62</v>
      </c>
      <c r="R92" t="s">
        <v>138</v>
      </c>
      <c r="S92" s="8">
        <f t="shared" si="24"/>
        <v>192.06897691363991</v>
      </c>
      <c r="T92" s="8">
        <f t="shared" si="25"/>
        <v>1.3768385441837987</v>
      </c>
      <c r="U92" s="8">
        <f t="shared" si="26"/>
        <v>1.4889067977801544</v>
      </c>
      <c r="V92" s="8">
        <f t="shared" si="32"/>
        <v>18.981421112011915</v>
      </c>
      <c r="W92" s="4">
        <f t="shared" si="33"/>
        <v>23.715000000000003</v>
      </c>
      <c r="X92" s="12">
        <f t="shared" si="29"/>
        <v>17.459912061644214</v>
      </c>
      <c r="Y92" s="8">
        <f t="shared" si="30"/>
        <v>252.22531008729604</v>
      </c>
      <c r="Z92" s="9">
        <f t="shared" si="27"/>
        <v>4.2961583744929872E-2</v>
      </c>
      <c r="AA92" s="8">
        <f t="shared" si="28"/>
        <v>5618.724689912704</v>
      </c>
    </row>
    <row r="93" spans="1:27" x14ac:dyDescent="0.25">
      <c r="A93">
        <v>1</v>
      </c>
      <c r="B93" t="s">
        <v>14</v>
      </c>
      <c r="C93" t="s">
        <v>12</v>
      </c>
      <c r="D93" t="s">
        <v>209</v>
      </c>
      <c r="E93">
        <v>20930</v>
      </c>
      <c r="F93" t="s">
        <v>175</v>
      </c>
      <c r="G93">
        <v>25550</v>
      </c>
      <c r="H93" s="3">
        <v>152.5</v>
      </c>
      <c r="I93" s="3">
        <v>142</v>
      </c>
      <c r="J93" s="3">
        <v>6466.5</v>
      </c>
      <c r="K93" s="2">
        <v>46136</v>
      </c>
      <c r="L93" s="5"/>
      <c r="M93" s="7"/>
      <c r="N93" s="5">
        <v>614535</v>
      </c>
      <c r="O93" s="7">
        <v>198.25</v>
      </c>
      <c r="P93" s="7">
        <f t="shared" si="31"/>
        <v>11.717877988029301</v>
      </c>
      <c r="Q93" t="s">
        <v>26</v>
      </c>
      <c r="R93" t="s">
        <v>128</v>
      </c>
      <c r="S93" s="8">
        <f t="shared" si="24"/>
        <v>209.9678779880293</v>
      </c>
      <c r="T93" s="8">
        <f t="shared" si="25"/>
        <v>1.3768385441837987</v>
      </c>
      <c r="U93" s="8">
        <f t="shared" si="26"/>
        <v>1.4786470280847135</v>
      </c>
      <c r="V93" s="8">
        <f t="shared" si="32"/>
        <v>20.750299065102631</v>
      </c>
      <c r="W93" s="4">
        <f t="shared" si="33"/>
        <v>25.925000000000001</v>
      </c>
      <c r="X93" s="12">
        <f t="shared" si="29"/>
        <v>19.08700064086554</v>
      </c>
      <c r="Y93" s="8">
        <f t="shared" si="30"/>
        <v>275.73017769399746</v>
      </c>
      <c r="Z93" s="9">
        <f t="shared" si="27"/>
        <v>4.2639786235830431E-2</v>
      </c>
      <c r="AA93" s="8">
        <f t="shared" si="28"/>
        <v>6190.7698223060024</v>
      </c>
    </row>
    <row r="94" spans="1:27" x14ac:dyDescent="0.25">
      <c r="A94">
        <v>1</v>
      </c>
      <c r="B94" t="s">
        <v>14</v>
      </c>
      <c r="C94" t="s">
        <v>12</v>
      </c>
      <c r="D94" t="s">
        <v>209</v>
      </c>
      <c r="E94">
        <v>20931</v>
      </c>
      <c r="F94" t="s">
        <v>184</v>
      </c>
      <c r="G94">
        <v>25551</v>
      </c>
      <c r="H94" s="3">
        <v>33.5</v>
      </c>
      <c r="I94" s="3">
        <v>30</v>
      </c>
      <c r="J94" s="3">
        <v>1369.8</v>
      </c>
      <c r="K94" s="2">
        <v>46136</v>
      </c>
      <c r="L94" s="5"/>
      <c r="M94" s="7"/>
      <c r="N94" s="5">
        <v>614536</v>
      </c>
      <c r="O94" s="7">
        <v>43.550000000000004</v>
      </c>
      <c r="P94" s="7">
        <f t="shared" si="31"/>
        <v>2.574091230157256</v>
      </c>
      <c r="Q94" t="s">
        <v>64</v>
      </c>
      <c r="R94" t="s">
        <v>138</v>
      </c>
      <c r="S94" s="8">
        <f t="shared" si="24"/>
        <v>46.124091230157262</v>
      </c>
      <c r="T94" s="8">
        <f t="shared" si="25"/>
        <v>1.3768385441837989</v>
      </c>
      <c r="U94" s="8">
        <f t="shared" si="26"/>
        <v>1.5374697076719088</v>
      </c>
      <c r="V94" s="8">
        <f t="shared" si="32"/>
        <v>4.5582624175799218</v>
      </c>
      <c r="W94" s="4">
        <f t="shared" si="33"/>
        <v>5.6950000000000003</v>
      </c>
      <c r="X94" s="12">
        <f t="shared" si="29"/>
        <v>4.1928821079934133</v>
      </c>
      <c r="Y94" s="8">
        <f t="shared" si="30"/>
        <v>60.5702357557306</v>
      </c>
      <c r="Z94" s="9">
        <f t="shared" si="27"/>
        <v>4.4218306143765949E-2</v>
      </c>
      <c r="AA94" s="8">
        <f t="shared" si="28"/>
        <v>1309.2297642442693</v>
      </c>
    </row>
    <row r="95" spans="1:27" x14ac:dyDescent="0.25">
      <c r="A95">
        <v>1</v>
      </c>
      <c r="B95" t="s">
        <v>14</v>
      </c>
      <c r="C95" t="s">
        <v>12</v>
      </c>
      <c r="D95" t="s">
        <v>209</v>
      </c>
      <c r="E95">
        <v>20932</v>
      </c>
      <c r="F95" t="s">
        <v>184</v>
      </c>
      <c r="G95">
        <v>25552</v>
      </c>
      <c r="H95" s="3">
        <v>57.65</v>
      </c>
      <c r="I95" s="3">
        <v>53.8</v>
      </c>
      <c r="J95" s="3">
        <v>2447.11</v>
      </c>
      <c r="K95" s="2">
        <v>46136</v>
      </c>
      <c r="L95" s="5"/>
      <c r="M95" s="7"/>
      <c r="N95" s="5">
        <v>614537</v>
      </c>
      <c r="O95" s="7">
        <v>74.945000000000007</v>
      </c>
      <c r="P95" s="7">
        <f t="shared" si="31"/>
        <v>4.4297420721959941</v>
      </c>
      <c r="Q95" t="s">
        <v>63</v>
      </c>
      <c r="R95" t="s">
        <v>138</v>
      </c>
      <c r="S95" s="8">
        <f t="shared" si="24"/>
        <v>79.374742072196</v>
      </c>
      <c r="T95" s="8">
        <f t="shared" si="25"/>
        <v>1.3768385441837989</v>
      </c>
      <c r="U95" s="8">
        <f t="shared" si="26"/>
        <v>1.4753669530147957</v>
      </c>
      <c r="V95" s="8">
        <f t="shared" si="32"/>
        <v>7.84429338428306</v>
      </c>
      <c r="W95" s="4">
        <f t="shared" si="33"/>
        <v>9.8005000000000013</v>
      </c>
      <c r="X95" s="12">
        <f t="shared" si="29"/>
        <v>7.2155120455468751</v>
      </c>
      <c r="Y95" s="8">
        <f t="shared" si="30"/>
        <v>104.23504750202594</v>
      </c>
      <c r="Z95" s="9">
        <f t="shared" si="27"/>
        <v>4.2595162253444237E-2</v>
      </c>
      <c r="AA95" s="8">
        <f t="shared" si="28"/>
        <v>2342.8749524979744</v>
      </c>
    </row>
    <row r="96" spans="1:27" x14ac:dyDescent="0.25">
      <c r="A96">
        <v>2</v>
      </c>
      <c r="B96" t="s">
        <v>194</v>
      </c>
      <c r="C96" t="s">
        <v>33</v>
      </c>
      <c r="D96" t="s">
        <v>209</v>
      </c>
      <c r="E96">
        <v>3193</v>
      </c>
      <c r="F96" t="s">
        <v>187</v>
      </c>
      <c r="G96">
        <v>25553</v>
      </c>
      <c r="H96" s="3">
        <v>297.5</v>
      </c>
      <c r="I96" s="3">
        <v>280</v>
      </c>
      <c r="J96" s="3">
        <v>13122</v>
      </c>
      <c r="K96" s="2">
        <v>46136</v>
      </c>
      <c r="L96" s="5"/>
      <c r="M96" s="7">
        <v>918.54000000000008</v>
      </c>
      <c r="N96" s="5"/>
      <c r="O96" s="7">
        <v>386.75</v>
      </c>
      <c r="P96" s="7"/>
      <c r="Q96" t="s">
        <v>118</v>
      </c>
      <c r="R96" t="s">
        <v>129</v>
      </c>
      <c r="S96" s="8">
        <f t="shared" si="24"/>
        <v>1305.29</v>
      </c>
      <c r="T96" s="8">
        <f t="shared" si="25"/>
        <v>4.3875294117647057</v>
      </c>
      <c r="U96" s="8">
        <f t="shared" si="26"/>
        <v>4.6617499999999996</v>
      </c>
      <c r="V96" s="8">
        <f t="shared" si="32"/>
        <v>40.480091618806767</v>
      </c>
      <c r="W96" s="4">
        <f t="shared" si="33"/>
        <v>50.575000000000003</v>
      </c>
      <c r="X96" s="12">
        <f t="shared" si="29"/>
        <v>37.235296332180319</v>
      </c>
      <c r="Y96" s="8">
        <f t="shared" si="30"/>
        <v>1433.580387950987</v>
      </c>
      <c r="Z96" s="9">
        <f t="shared" si="27"/>
        <v>0.10925014387677084</v>
      </c>
      <c r="AA96" s="8">
        <f t="shared" si="28"/>
        <v>11688.419612049012</v>
      </c>
    </row>
    <row r="97" spans="1:27" x14ac:dyDescent="0.25">
      <c r="A97">
        <v>2</v>
      </c>
      <c r="B97" t="s">
        <v>14</v>
      </c>
      <c r="C97" t="s">
        <v>20</v>
      </c>
      <c r="D97" t="s">
        <v>209</v>
      </c>
      <c r="E97">
        <v>3194</v>
      </c>
      <c r="F97" t="s">
        <v>184</v>
      </c>
      <c r="G97">
        <v>25565</v>
      </c>
      <c r="H97" s="3">
        <v>2142</v>
      </c>
      <c r="I97" s="3">
        <v>2016</v>
      </c>
      <c r="J97" s="3">
        <v>90586.8</v>
      </c>
      <c r="K97" s="2">
        <v>46139</v>
      </c>
      <c r="L97" s="5"/>
      <c r="M97" s="7"/>
      <c r="N97" s="5">
        <v>614524</v>
      </c>
      <c r="O97" s="7">
        <v>2784.6</v>
      </c>
      <c r="P97" s="7">
        <f t="shared" ref="P97:P98" si="34">0.0768385441837987*H97</f>
        <v>164.58816164169681</v>
      </c>
      <c r="Q97" t="s">
        <v>21</v>
      </c>
      <c r="R97" t="s">
        <v>17</v>
      </c>
      <c r="S97" s="8">
        <f t="shared" si="24"/>
        <v>2949.1881616416968</v>
      </c>
      <c r="T97" s="8">
        <f t="shared" si="25"/>
        <v>1.3768385441837987</v>
      </c>
      <c r="U97" s="8">
        <f t="shared" si="26"/>
        <v>1.4628909531952861</v>
      </c>
      <c r="V97" s="8">
        <f t="shared" si="32"/>
        <v>291.45665965540877</v>
      </c>
      <c r="W97" s="4">
        <f t="shared" si="33"/>
        <v>364.14000000000004</v>
      </c>
      <c r="X97" s="12">
        <f t="shared" si="29"/>
        <v>268.09413359169827</v>
      </c>
      <c r="Y97" s="8">
        <f t="shared" si="30"/>
        <v>3872.8789548888035</v>
      </c>
      <c r="Z97" s="9">
        <f t="shared" si="27"/>
        <v>4.2753237280583965E-2</v>
      </c>
      <c r="AA97" s="8">
        <f t="shared" si="28"/>
        <v>86713.921045111201</v>
      </c>
    </row>
    <row r="98" spans="1:27" x14ac:dyDescent="0.25">
      <c r="A98">
        <v>1</v>
      </c>
      <c r="B98" t="s">
        <v>14</v>
      </c>
      <c r="C98" t="s">
        <v>200</v>
      </c>
      <c r="D98" t="s">
        <v>209</v>
      </c>
      <c r="E98">
        <v>20934</v>
      </c>
      <c r="F98" t="s">
        <v>178</v>
      </c>
      <c r="G98">
        <v>25585</v>
      </c>
      <c r="H98" s="3">
        <v>6.35</v>
      </c>
      <c r="I98" s="3">
        <v>6</v>
      </c>
      <c r="J98" s="3">
        <v>48.59</v>
      </c>
      <c r="K98" s="2">
        <v>46139</v>
      </c>
      <c r="L98" s="5"/>
      <c r="M98" s="7"/>
      <c r="N98" s="5"/>
      <c r="O98" s="7">
        <v>8.254999999999999</v>
      </c>
      <c r="P98" s="7">
        <f t="shared" si="34"/>
        <v>0.48792475556712167</v>
      </c>
      <c r="Q98" t="s">
        <v>153</v>
      </c>
      <c r="R98" t="s">
        <v>91</v>
      </c>
      <c r="S98" s="8">
        <f t="shared" ref="S98:S129" si="35">SUM(M98+O98+P98)</f>
        <v>8.7429247555671203</v>
      </c>
      <c r="T98" s="8">
        <f t="shared" ref="T98:T129" si="36">SUM(M98+O98+P98)/H98</f>
        <v>1.3768385441837985</v>
      </c>
      <c r="U98" s="8">
        <f t="shared" ref="U98:U129" si="37">SUM(M98+O98+P98)/I98</f>
        <v>1.4571541259278533</v>
      </c>
      <c r="V98" s="8">
        <f t="shared" si="32"/>
        <v>0.86402884631738819</v>
      </c>
      <c r="W98" s="4">
        <f t="shared" si="33"/>
        <v>1.0795000000000001</v>
      </c>
      <c r="X98" s="12">
        <f t="shared" si="29"/>
        <v>0.79477019061964704</v>
      </c>
      <c r="Y98" s="8">
        <f t="shared" si="30"/>
        <v>11.481223792504156</v>
      </c>
      <c r="Z98" s="9">
        <f t="shared" ref="Z98:Z129" si="38">Y98/J98</f>
        <v>0.23628779157242552</v>
      </c>
      <c r="AA98" s="8">
        <f t="shared" ref="AA98:AA129" si="39">J98-Y98</f>
        <v>37.10877620749585</v>
      </c>
    </row>
    <row r="99" spans="1:27" x14ac:dyDescent="0.25">
      <c r="A99">
        <v>1</v>
      </c>
      <c r="B99" t="s">
        <v>14</v>
      </c>
      <c r="C99" t="s">
        <v>18</v>
      </c>
      <c r="D99" t="s">
        <v>206</v>
      </c>
      <c r="E99">
        <v>20936</v>
      </c>
      <c r="F99" t="s">
        <v>181</v>
      </c>
      <c r="G99">
        <v>25638</v>
      </c>
      <c r="H99" s="3">
        <v>4338.8</v>
      </c>
      <c r="I99" s="3">
        <v>4022.4</v>
      </c>
      <c r="J99" s="3">
        <v>32918.639999999999</v>
      </c>
      <c r="K99" s="2">
        <v>46140</v>
      </c>
      <c r="L99" s="5">
        <v>32</v>
      </c>
      <c r="M99" s="7">
        <v>1100</v>
      </c>
      <c r="N99" s="5"/>
      <c r="O99" s="7"/>
      <c r="P99" s="7"/>
      <c r="Q99" t="s">
        <v>19</v>
      </c>
      <c r="R99" t="s">
        <v>206</v>
      </c>
      <c r="S99" s="8">
        <f t="shared" si="35"/>
        <v>1100</v>
      </c>
      <c r="T99" s="8">
        <f t="shared" si="36"/>
        <v>0.25352632064165204</v>
      </c>
      <c r="U99" s="8">
        <f t="shared" si="37"/>
        <v>0.27346857597454255</v>
      </c>
      <c r="V99" s="8"/>
      <c r="X99" s="12">
        <f t="shared" si="29"/>
        <v>0</v>
      </c>
      <c r="Y99" s="8">
        <v>0</v>
      </c>
      <c r="Z99" s="9">
        <f t="shared" si="38"/>
        <v>0</v>
      </c>
      <c r="AA99" s="8">
        <f t="shared" si="39"/>
        <v>32918.639999999999</v>
      </c>
    </row>
    <row r="100" spans="1:27" x14ac:dyDescent="0.25">
      <c r="A100">
        <v>2</v>
      </c>
      <c r="B100" t="s">
        <v>14</v>
      </c>
      <c r="C100" t="s">
        <v>37</v>
      </c>
      <c r="D100" t="s">
        <v>209</v>
      </c>
      <c r="E100">
        <v>3195</v>
      </c>
      <c r="F100" t="s">
        <v>180</v>
      </c>
      <c r="G100">
        <v>25722</v>
      </c>
      <c r="H100" s="3">
        <v>3769.5</v>
      </c>
      <c r="I100" s="3">
        <v>3626</v>
      </c>
      <c r="J100" s="3">
        <v>41540.800000000003</v>
      </c>
      <c r="K100" s="2">
        <v>46141</v>
      </c>
      <c r="L100" s="5">
        <v>337</v>
      </c>
      <c r="M100" s="7">
        <v>1059.6445362737456</v>
      </c>
      <c r="N100" s="5"/>
      <c r="O100" s="7"/>
      <c r="P100" s="7"/>
      <c r="Q100" t="s">
        <v>38</v>
      </c>
      <c r="R100" t="s">
        <v>17</v>
      </c>
      <c r="S100" s="8">
        <f t="shared" si="35"/>
        <v>1059.6445362737456</v>
      </c>
      <c r="T100" s="8">
        <f t="shared" si="36"/>
        <v>0.28111010379990597</v>
      </c>
      <c r="U100" s="8">
        <f t="shared" si="37"/>
        <v>0.292235117560327</v>
      </c>
      <c r="V100" s="8"/>
      <c r="W100" s="4">
        <v>0</v>
      </c>
      <c r="X100" s="12">
        <f t="shared" si="29"/>
        <v>471.7931076442141</v>
      </c>
      <c r="Y100" s="8">
        <f t="shared" si="30"/>
        <v>1531.4376439179598</v>
      </c>
      <c r="Z100" s="9">
        <f t="shared" si="38"/>
        <v>3.6865867867685739E-2</v>
      </c>
      <c r="AA100" s="8">
        <f t="shared" si="39"/>
        <v>40009.362356082042</v>
      </c>
    </row>
    <row r="101" spans="1:27" x14ac:dyDescent="0.25">
      <c r="A101">
        <v>2</v>
      </c>
      <c r="B101" t="s">
        <v>14</v>
      </c>
      <c r="C101" t="s">
        <v>37</v>
      </c>
      <c r="D101" t="s">
        <v>209</v>
      </c>
      <c r="E101">
        <v>3196</v>
      </c>
      <c r="F101" t="s">
        <v>180</v>
      </c>
      <c r="G101">
        <v>25723</v>
      </c>
      <c r="H101" s="3">
        <v>505.75</v>
      </c>
      <c r="I101" s="3">
        <v>476</v>
      </c>
      <c r="J101" s="3">
        <v>6832.1</v>
      </c>
      <c r="K101" s="2">
        <v>46141</v>
      </c>
      <c r="L101" s="5">
        <v>337</v>
      </c>
      <c r="M101" s="7">
        <v>142.17143499680245</v>
      </c>
      <c r="N101" s="5"/>
      <c r="O101" s="7"/>
      <c r="P101" s="7"/>
      <c r="Q101" t="s">
        <v>38</v>
      </c>
      <c r="R101" t="s">
        <v>17</v>
      </c>
      <c r="S101" s="8">
        <f t="shared" si="35"/>
        <v>142.17143499680245</v>
      </c>
      <c r="T101" s="8">
        <f t="shared" si="36"/>
        <v>0.28111010379990597</v>
      </c>
      <c r="U101" s="8">
        <f t="shared" si="37"/>
        <v>0.29867948528740007</v>
      </c>
      <c r="V101" s="8"/>
      <c r="W101" s="4">
        <v>0</v>
      </c>
      <c r="X101" s="12">
        <f t="shared" si="29"/>
        <v>63.300003764706538</v>
      </c>
      <c r="Y101" s="8">
        <f t="shared" si="30"/>
        <v>205.47143876150898</v>
      </c>
      <c r="Z101" s="9">
        <f t="shared" si="38"/>
        <v>3.0074419104156695E-2</v>
      </c>
      <c r="AA101" s="8">
        <f t="shared" si="39"/>
        <v>6626.6285612384918</v>
      </c>
    </row>
    <row r="102" spans="1:27" x14ac:dyDescent="0.25">
      <c r="A102">
        <v>1</v>
      </c>
      <c r="B102" t="s">
        <v>14</v>
      </c>
      <c r="C102" t="s">
        <v>18</v>
      </c>
      <c r="D102" t="s">
        <v>206</v>
      </c>
      <c r="E102">
        <v>20940</v>
      </c>
      <c r="F102" t="s">
        <v>181</v>
      </c>
      <c r="G102">
        <v>25731</v>
      </c>
      <c r="H102" s="3">
        <v>2839.4</v>
      </c>
      <c r="I102" s="3">
        <v>2611.1999999999998</v>
      </c>
      <c r="J102" s="3">
        <v>21472.799999999999</v>
      </c>
      <c r="K102" s="2">
        <v>46142</v>
      </c>
      <c r="L102" s="5">
        <v>337</v>
      </c>
      <c r="M102" s="7">
        <v>798.18402872945308</v>
      </c>
      <c r="N102" s="5"/>
      <c r="O102" s="7"/>
      <c r="P102" s="7"/>
      <c r="Q102" t="s">
        <v>19</v>
      </c>
      <c r="R102" t="s">
        <v>206</v>
      </c>
      <c r="S102" s="8">
        <f t="shared" si="35"/>
        <v>798.18402872945308</v>
      </c>
      <c r="T102" s="8">
        <f t="shared" si="36"/>
        <v>0.28111010379990597</v>
      </c>
      <c r="U102" s="8">
        <f t="shared" si="37"/>
        <v>0.30567709433572809</v>
      </c>
      <c r="V102" s="8"/>
      <c r="X102" s="12">
        <f t="shared" si="29"/>
        <v>0</v>
      </c>
      <c r="Y102" s="8">
        <v>0</v>
      </c>
      <c r="Z102" s="9">
        <f t="shared" si="38"/>
        <v>0</v>
      </c>
      <c r="AA102" s="8">
        <f t="shared" si="39"/>
        <v>21472.799999999999</v>
      </c>
    </row>
    <row r="103" spans="1:27" x14ac:dyDescent="0.25">
      <c r="A103">
        <v>4</v>
      </c>
      <c r="B103" t="s">
        <v>203</v>
      </c>
      <c r="C103" t="s">
        <v>44</v>
      </c>
      <c r="D103" t="s">
        <v>209</v>
      </c>
      <c r="E103">
        <v>2423</v>
      </c>
      <c r="F103" t="s">
        <v>160</v>
      </c>
      <c r="G103">
        <v>25755</v>
      </c>
      <c r="H103" s="3">
        <v>5210.3999999999996</v>
      </c>
      <c r="I103" s="3">
        <v>4723.2</v>
      </c>
      <c r="J103" s="3">
        <v>192268.79999999999</v>
      </c>
      <c r="K103" s="2">
        <v>46142</v>
      </c>
      <c r="L103" s="5">
        <v>33</v>
      </c>
      <c r="M103" s="7">
        <v>7900</v>
      </c>
      <c r="N103" s="5"/>
      <c r="O103" s="7"/>
      <c r="P103" s="7">
        <v>432.6</v>
      </c>
      <c r="Q103" t="s">
        <v>45</v>
      </c>
      <c r="R103" t="s">
        <v>46</v>
      </c>
      <c r="S103" s="8">
        <f t="shared" si="35"/>
        <v>8332.6</v>
      </c>
      <c r="T103" s="8">
        <f t="shared" si="36"/>
        <v>1.5992246276677415</v>
      </c>
      <c r="U103" s="8">
        <f t="shared" si="37"/>
        <v>1.7641852981029811</v>
      </c>
      <c r="V103" s="8">
        <f>H103*0.136067534853132</f>
        <v>708.96628359875888</v>
      </c>
      <c r="W103" s="4">
        <f>H103*0.17</f>
        <v>885.76800000000003</v>
      </c>
      <c r="X103" s="12">
        <f t="shared" si="29"/>
        <v>652.13710255190688</v>
      </c>
      <c r="Y103" s="8">
        <f t="shared" si="30"/>
        <v>10579.471386150666</v>
      </c>
      <c r="Z103" s="9">
        <f t="shared" si="38"/>
        <v>5.5024379338460876E-2</v>
      </c>
      <c r="AA103" s="8">
        <f t="shared" si="39"/>
        <v>181689.32861384933</v>
      </c>
    </row>
    <row r="104" spans="1:27" x14ac:dyDescent="0.25">
      <c r="A104">
        <v>1</v>
      </c>
      <c r="B104" t="s">
        <v>14</v>
      </c>
      <c r="C104" t="s">
        <v>18</v>
      </c>
      <c r="D104" t="s">
        <v>206</v>
      </c>
      <c r="E104">
        <v>20941</v>
      </c>
      <c r="F104" t="s">
        <v>181</v>
      </c>
      <c r="G104">
        <v>25770</v>
      </c>
      <c r="H104" s="3">
        <v>958.85</v>
      </c>
      <c r="I104" s="3">
        <v>906</v>
      </c>
      <c r="J104" s="3">
        <v>7328.03</v>
      </c>
      <c r="K104" s="2">
        <v>46142</v>
      </c>
      <c r="L104" s="5"/>
      <c r="M104" s="7"/>
      <c r="N104" s="5">
        <v>617510</v>
      </c>
      <c r="O104" s="7">
        <v>326.53323426519341</v>
      </c>
      <c r="P104" s="7"/>
      <c r="Q104" t="s">
        <v>19</v>
      </c>
      <c r="R104" t="s">
        <v>206</v>
      </c>
      <c r="S104" s="8">
        <f t="shared" si="35"/>
        <v>326.53323426519341</v>
      </c>
      <c r="T104" s="8">
        <f t="shared" si="36"/>
        <v>0.34054673229931004</v>
      </c>
      <c r="U104" s="8">
        <f t="shared" si="37"/>
        <v>0.36041195835010309</v>
      </c>
      <c r="V104" s="8"/>
      <c r="X104" s="12">
        <f t="shared" si="29"/>
        <v>0</v>
      </c>
      <c r="Y104" s="8">
        <v>0</v>
      </c>
      <c r="Z104" s="9">
        <f t="shared" si="38"/>
        <v>0</v>
      </c>
      <c r="AA104" s="8">
        <f t="shared" si="39"/>
        <v>7328.03</v>
      </c>
    </row>
    <row r="105" spans="1:27" x14ac:dyDescent="0.25">
      <c r="A105">
        <v>2</v>
      </c>
      <c r="B105" t="s">
        <v>14</v>
      </c>
      <c r="C105" t="s">
        <v>33</v>
      </c>
      <c r="D105" t="s">
        <v>209</v>
      </c>
      <c r="E105">
        <v>3198</v>
      </c>
      <c r="F105" t="s">
        <v>185</v>
      </c>
      <c r="G105">
        <v>25772</v>
      </c>
      <c r="H105" s="3">
        <v>543</v>
      </c>
      <c r="I105" s="3">
        <v>508</v>
      </c>
      <c r="J105" s="3">
        <v>21480</v>
      </c>
      <c r="K105" s="2">
        <v>46142</v>
      </c>
      <c r="L105" s="5"/>
      <c r="M105" s="7"/>
      <c r="N105" s="5">
        <v>616205</v>
      </c>
      <c r="O105" s="7">
        <v>705.9</v>
      </c>
      <c r="P105" s="7">
        <f t="shared" ref="P105:P124" si="40">0.0768385441837987*H105</f>
        <v>41.723329491802687</v>
      </c>
      <c r="Q105" t="s">
        <v>47</v>
      </c>
      <c r="R105" t="s">
        <v>138</v>
      </c>
      <c r="S105" s="8">
        <f t="shared" si="35"/>
        <v>747.62332949180268</v>
      </c>
      <c r="T105" s="8">
        <f t="shared" si="36"/>
        <v>1.3768385441837987</v>
      </c>
      <c r="U105" s="8">
        <f t="shared" si="37"/>
        <v>1.4716994675035486</v>
      </c>
      <c r="V105" s="8">
        <f t="shared" ref="V105:V125" si="41">H105*0.136067534853132</f>
        <v>73.884671425250673</v>
      </c>
      <c r="W105" s="4">
        <f t="shared" ref="W105:W125" si="42">H105*0.17</f>
        <v>92.31</v>
      </c>
      <c r="X105" s="12">
        <f t="shared" si="29"/>
        <v>67.962238347475335</v>
      </c>
      <c r="Y105" s="8">
        <f t="shared" si="30"/>
        <v>981.78023926452863</v>
      </c>
      <c r="Z105" s="9">
        <f t="shared" si="38"/>
        <v>4.570671504955906E-2</v>
      </c>
      <c r="AA105" s="8">
        <f t="shared" si="39"/>
        <v>20498.219760735472</v>
      </c>
    </row>
    <row r="106" spans="1:27" x14ac:dyDescent="0.25">
      <c r="A106">
        <v>2</v>
      </c>
      <c r="B106" t="s">
        <v>14</v>
      </c>
      <c r="C106" t="s">
        <v>33</v>
      </c>
      <c r="D106" t="s">
        <v>209</v>
      </c>
      <c r="E106">
        <v>3199</v>
      </c>
      <c r="F106" t="s">
        <v>176</v>
      </c>
      <c r="G106">
        <v>25773</v>
      </c>
      <c r="H106" s="3">
        <v>260.75</v>
      </c>
      <c r="I106" s="3">
        <v>245</v>
      </c>
      <c r="J106" s="3">
        <v>10316</v>
      </c>
      <c r="K106" s="2">
        <v>46142</v>
      </c>
      <c r="L106" s="5"/>
      <c r="M106" s="7"/>
      <c r="N106" s="5">
        <v>616206</v>
      </c>
      <c r="O106" s="7">
        <v>338.97500000000002</v>
      </c>
      <c r="P106" s="7">
        <f t="shared" si="40"/>
        <v>20.035650395925508</v>
      </c>
      <c r="Q106" t="s">
        <v>108</v>
      </c>
      <c r="R106" t="s">
        <v>129</v>
      </c>
      <c r="S106" s="8">
        <f t="shared" si="35"/>
        <v>359.01065039592555</v>
      </c>
      <c r="T106" s="8">
        <f t="shared" si="36"/>
        <v>1.3768385441837989</v>
      </c>
      <c r="U106" s="8">
        <f t="shared" si="37"/>
        <v>1.4653495934527574</v>
      </c>
      <c r="V106" s="8">
        <f t="shared" si="41"/>
        <v>35.479609712954172</v>
      </c>
      <c r="W106" s="4">
        <f t="shared" si="42"/>
        <v>44.327500000000001</v>
      </c>
      <c r="X106" s="12">
        <f t="shared" si="29"/>
        <v>32.635642079381569</v>
      </c>
      <c r="Y106" s="8">
        <f t="shared" si="30"/>
        <v>471.45340218826129</v>
      </c>
      <c r="Z106" s="9">
        <f t="shared" si="38"/>
        <v>4.570118284104898E-2</v>
      </c>
      <c r="AA106" s="8">
        <f t="shared" si="39"/>
        <v>9844.546597811739</v>
      </c>
    </row>
    <row r="107" spans="1:27" x14ac:dyDescent="0.25">
      <c r="A107">
        <v>2</v>
      </c>
      <c r="B107" t="s">
        <v>14</v>
      </c>
      <c r="C107" t="s">
        <v>75</v>
      </c>
      <c r="D107" t="s">
        <v>209</v>
      </c>
      <c r="E107">
        <v>3200</v>
      </c>
      <c r="F107" t="s">
        <v>178</v>
      </c>
      <c r="G107">
        <v>25774</v>
      </c>
      <c r="H107" s="3">
        <v>190.5</v>
      </c>
      <c r="I107" s="3">
        <v>180</v>
      </c>
      <c r="J107" s="3">
        <v>4635</v>
      </c>
      <c r="K107" s="2">
        <v>46142</v>
      </c>
      <c r="L107" s="5"/>
      <c r="M107" s="7"/>
      <c r="N107" s="5">
        <v>616207</v>
      </c>
      <c r="O107" s="7">
        <v>247.65</v>
      </c>
      <c r="P107" s="7">
        <f t="shared" si="40"/>
        <v>14.637742667013651</v>
      </c>
      <c r="Q107" t="s">
        <v>132</v>
      </c>
      <c r="R107" t="s">
        <v>138</v>
      </c>
      <c r="S107" s="8">
        <f t="shared" si="35"/>
        <v>262.28774266701367</v>
      </c>
      <c r="T107" s="8">
        <f t="shared" si="36"/>
        <v>1.3768385441837989</v>
      </c>
      <c r="U107" s="8">
        <f t="shared" si="37"/>
        <v>1.4571541259278538</v>
      </c>
      <c r="V107" s="8">
        <f t="shared" si="41"/>
        <v>25.920865389521644</v>
      </c>
      <c r="W107" s="4">
        <f t="shared" si="42"/>
        <v>32.385000000000005</v>
      </c>
      <c r="X107" s="12">
        <f t="shared" si="29"/>
        <v>23.843105718589413</v>
      </c>
      <c r="Y107" s="8">
        <f t="shared" si="30"/>
        <v>344.4367137751247</v>
      </c>
      <c r="Z107" s="9">
        <f t="shared" si="38"/>
        <v>7.4312128106823028E-2</v>
      </c>
      <c r="AA107" s="8">
        <f t="shared" si="39"/>
        <v>4290.5632862248749</v>
      </c>
    </row>
    <row r="108" spans="1:27" x14ac:dyDescent="0.25">
      <c r="A108">
        <v>2</v>
      </c>
      <c r="B108" t="s">
        <v>14</v>
      </c>
      <c r="C108" t="s">
        <v>33</v>
      </c>
      <c r="D108" t="s">
        <v>209</v>
      </c>
      <c r="E108">
        <v>3201</v>
      </c>
      <c r="F108" t="s">
        <v>177</v>
      </c>
      <c r="G108">
        <v>25775</v>
      </c>
      <c r="H108" s="3">
        <v>100.05</v>
      </c>
      <c r="I108" s="3">
        <v>93.4</v>
      </c>
      <c r="J108" s="3">
        <v>4120</v>
      </c>
      <c r="K108" s="2">
        <v>46142</v>
      </c>
      <c r="L108" s="5"/>
      <c r="M108" s="7"/>
      <c r="N108" s="5">
        <v>616208</v>
      </c>
      <c r="O108" s="7">
        <v>130.065</v>
      </c>
      <c r="P108" s="7">
        <f t="shared" si="40"/>
        <v>7.6876963455890595</v>
      </c>
      <c r="Q108" t="s">
        <v>130</v>
      </c>
      <c r="R108" t="s">
        <v>129</v>
      </c>
      <c r="S108" s="8">
        <f t="shared" si="35"/>
        <v>137.75269634558904</v>
      </c>
      <c r="T108" s="8">
        <f t="shared" si="36"/>
        <v>1.3768385441837985</v>
      </c>
      <c r="U108" s="8">
        <f t="shared" si="37"/>
        <v>1.4748682692247219</v>
      </c>
      <c r="V108" s="8">
        <f t="shared" si="41"/>
        <v>13.613556862055857</v>
      </c>
      <c r="W108" s="4">
        <f t="shared" si="42"/>
        <v>17.008500000000002</v>
      </c>
      <c r="X108" s="12">
        <f t="shared" si="29"/>
        <v>12.522324027007194</v>
      </c>
      <c r="Y108" s="8">
        <f t="shared" si="30"/>
        <v>180.89707723465207</v>
      </c>
      <c r="Z108" s="9">
        <f t="shared" si="38"/>
        <v>4.3907057581226233E-2</v>
      </c>
      <c r="AA108" s="8">
        <f t="shared" si="39"/>
        <v>3939.102922765348</v>
      </c>
    </row>
    <row r="109" spans="1:27" x14ac:dyDescent="0.25">
      <c r="A109">
        <v>2</v>
      </c>
      <c r="B109" t="s">
        <v>14</v>
      </c>
      <c r="C109" t="s">
        <v>33</v>
      </c>
      <c r="D109" t="s">
        <v>209</v>
      </c>
      <c r="E109">
        <v>3202</v>
      </c>
      <c r="F109" t="s">
        <v>159</v>
      </c>
      <c r="G109">
        <v>25776</v>
      </c>
      <c r="H109" s="3">
        <v>171.25</v>
      </c>
      <c r="I109" s="3">
        <v>159</v>
      </c>
      <c r="J109" s="3">
        <v>6550</v>
      </c>
      <c r="K109" s="2">
        <v>46142</v>
      </c>
      <c r="L109" s="5"/>
      <c r="M109" s="7"/>
      <c r="N109" s="5">
        <v>616209</v>
      </c>
      <c r="O109" s="7">
        <v>222.625</v>
      </c>
      <c r="P109" s="7">
        <f t="shared" si="40"/>
        <v>13.158600691475526</v>
      </c>
      <c r="Q109" t="s">
        <v>36</v>
      </c>
      <c r="R109" t="s">
        <v>91</v>
      </c>
      <c r="S109" s="8">
        <f t="shared" si="35"/>
        <v>235.78360069147553</v>
      </c>
      <c r="T109" s="8">
        <f t="shared" si="36"/>
        <v>1.3768385441837987</v>
      </c>
      <c r="U109" s="8">
        <f t="shared" si="37"/>
        <v>1.482915727619343</v>
      </c>
      <c r="V109" s="8">
        <f t="shared" si="41"/>
        <v>23.301565343598856</v>
      </c>
      <c r="W109" s="4">
        <f t="shared" si="42"/>
        <v>29.112500000000001</v>
      </c>
      <c r="X109" s="12">
        <f t="shared" si="29"/>
        <v>21.43376301474245</v>
      </c>
      <c r="Y109" s="8">
        <f t="shared" si="30"/>
        <v>309.63142904981686</v>
      </c>
      <c r="Z109" s="9">
        <f t="shared" si="38"/>
        <v>4.7271973900735398E-2</v>
      </c>
      <c r="AA109" s="8">
        <f t="shared" si="39"/>
        <v>6240.3685709501833</v>
      </c>
    </row>
    <row r="110" spans="1:27" x14ac:dyDescent="0.25">
      <c r="A110">
        <v>2</v>
      </c>
      <c r="B110" t="s">
        <v>14</v>
      </c>
      <c r="C110" t="s">
        <v>31</v>
      </c>
      <c r="D110" t="s">
        <v>209</v>
      </c>
      <c r="E110">
        <v>3203</v>
      </c>
      <c r="F110" t="s">
        <v>159</v>
      </c>
      <c r="G110">
        <v>25777</v>
      </c>
      <c r="H110" s="3">
        <v>91.25</v>
      </c>
      <c r="I110" s="3">
        <v>86</v>
      </c>
      <c r="J110" s="3">
        <v>3433.25</v>
      </c>
      <c r="K110" s="2">
        <v>46142</v>
      </c>
      <c r="L110" s="5"/>
      <c r="M110" s="7"/>
      <c r="N110" s="5">
        <v>616210</v>
      </c>
      <c r="O110" s="7">
        <v>118.625</v>
      </c>
      <c r="P110" s="7">
        <f t="shared" si="40"/>
        <v>7.0115171567716308</v>
      </c>
      <c r="Q110" t="s">
        <v>131</v>
      </c>
      <c r="R110" t="s">
        <v>128</v>
      </c>
      <c r="S110" s="8">
        <f t="shared" si="35"/>
        <v>125.63651715677163</v>
      </c>
      <c r="T110" s="8">
        <f t="shared" si="36"/>
        <v>1.3768385441837987</v>
      </c>
      <c r="U110" s="8">
        <f t="shared" si="37"/>
        <v>1.4608897343810654</v>
      </c>
      <c r="V110" s="8">
        <f t="shared" si="41"/>
        <v>12.416162555348295</v>
      </c>
      <c r="W110" s="4">
        <f t="shared" si="42"/>
        <v>15.512500000000001</v>
      </c>
      <c r="X110" s="12">
        <f t="shared" si="29"/>
        <v>11.420910219534299</v>
      </c>
      <c r="Y110" s="8">
        <f t="shared" si="30"/>
        <v>164.98608993165422</v>
      </c>
      <c r="Z110" s="9">
        <f t="shared" si="38"/>
        <v>4.8055367343378494E-2</v>
      </c>
      <c r="AA110" s="8">
        <f t="shared" si="39"/>
        <v>3268.2639100683459</v>
      </c>
    </row>
    <row r="111" spans="1:27" x14ac:dyDescent="0.25">
      <c r="A111">
        <v>2</v>
      </c>
      <c r="B111" t="s">
        <v>14</v>
      </c>
      <c r="C111" t="s">
        <v>33</v>
      </c>
      <c r="D111" t="s">
        <v>209</v>
      </c>
      <c r="E111">
        <v>3204</v>
      </c>
      <c r="F111" t="s">
        <v>179</v>
      </c>
      <c r="G111">
        <v>25778</v>
      </c>
      <c r="H111" s="3">
        <v>135.75</v>
      </c>
      <c r="I111" s="3">
        <v>127</v>
      </c>
      <c r="J111" s="3">
        <v>5370</v>
      </c>
      <c r="K111" s="2">
        <v>46142</v>
      </c>
      <c r="L111" s="5"/>
      <c r="M111" s="7"/>
      <c r="N111" s="5">
        <v>616211</v>
      </c>
      <c r="O111" s="7">
        <v>176.47499999999999</v>
      </c>
      <c r="P111" s="7">
        <f t="shared" si="40"/>
        <v>10.430832372950672</v>
      </c>
      <c r="Q111" t="s">
        <v>113</v>
      </c>
      <c r="R111" t="s">
        <v>91</v>
      </c>
      <c r="S111" s="8">
        <f t="shared" si="35"/>
        <v>186.90583237295067</v>
      </c>
      <c r="T111" s="8">
        <f t="shared" si="36"/>
        <v>1.3768385441837987</v>
      </c>
      <c r="U111" s="8">
        <f t="shared" si="37"/>
        <v>1.4716994675035486</v>
      </c>
      <c r="V111" s="8">
        <f t="shared" si="41"/>
        <v>18.471167856312668</v>
      </c>
      <c r="W111" s="4">
        <f t="shared" si="42"/>
        <v>23.077500000000001</v>
      </c>
      <c r="X111" s="12">
        <f t="shared" si="29"/>
        <v>16.990559586868834</v>
      </c>
      <c r="Y111" s="8">
        <f t="shared" si="30"/>
        <v>245.44505981613216</v>
      </c>
      <c r="Z111" s="9">
        <f t="shared" si="38"/>
        <v>4.570671504955906E-2</v>
      </c>
      <c r="AA111" s="8">
        <f t="shared" si="39"/>
        <v>5124.554940183868</v>
      </c>
    </row>
    <row r="112" spans="1:27" x14ac:dyDescent="0.25">
      <c r="A112">
        <v>2</v>
      </c>
      <c r="B112" t="s">
        <v>14</v>
      </c>
      <c r="C112" t="s">
        <v>33</v>
      </c>
      <c r="D112" t="s">
        <v>209</v>
      </c>
      <c r="E112">
        <v>3205</v>
      </c>
      <c r="F112" t="s">
        <v>176</v>
      </c>
      <c r="G112">
        <v>25779</v>
      </c>
      <c r="H112" s="3">
        <v>106</v>
      </c>
      <c r="I112" s="3">
        <v>99</v>
      </c>
      <c r="J112" s="3">
        <v>4545</v>
      </c>
      <c r="K112" s="2">
        <v>46142</v>
      </c>
      <c r="L112" s="5"/>
      <c r="M112" s="7"/>
      <c r="N112" s="5">
        <v>616212</v>
      </c>
      <c r="O112" s="7">
        <v>137.80000000000001</v>
      </c>
      <c r="P112" s="7">
        <f t="shared" si="40"/>
        <v>8.1448856834826611</v>
      </c>
      <c r="Q112" t="s">
        <v>52</v>
      </c>
      <c r="R112" t="s">
        <v>129</v>
      </c>
      <c r="S112" s="8">
        <f t="shared" si="35"/>
        <v>145.94488568348268</v>
      </c>
      <c r="T112" s="8">
        <f t="shared" si="36"/>
        <v>1.3768385441837989</v>
      </c>
      <c r="U112" s="8">
        <f t="shared" si="37"/>
        <v>1.4741907644796231</v>
      </c>
      <c r="V112" s="8">
        <f t="shared" si="41"/>
        <v>14.423158694431992</v>
      </c>
      <c r="W112" s="4">
        <f t="shared" si="42"/>
        <v>18.02</v>
      </c>
      <c r="X112" s="12">
        <f t="shared" si="29"/>
        <v>13.267029953650802</v>
      </c>
      <c r="Y112" s="8">
        <f t="shared" si="30"/>
        <v>191.65507433156549</v>
      </c>
      <c r="Z112" s="9">
        <f t="shared" si="38"/>
        <v>4.2168333186263035E-2</v>
      </c>
      <c r="AA112" s="8">
        <f t="shared" si="39"/>
        <v>4353.3449256684344</v>
      </c>
    </row>
    <row r="113" spans="1:27" x14ac:dyDescent="0.25">
      <c r="A113">
        <v>1</v>
      </c>
      <c r="B113" t="s">
        <v>14</v>
      </c>
      <c r="C113" t="s">
        <v>12</v>
      </c>
      <c r="D113" t="s">
        <v>209</v>
      </c>
      <c r="E113">
        <v>20942</v>
      </c>
      <c r="F113" t="s">
        <v>177</v>
      </c>
      <c r="G113">
        <v>25783</v>
      </c>
      <c r="H113" s="3">
        <v>94.85</v>
      </c>
      <c r="I113" s="3">
        <v>88.2</v>
      </c>
      <c r="J113" s="3">
        <v>4014.37</v>
      </c>
      <c r="K113" s="2">
        <v>46142</v>
      </c>
      <c r="L113" s="5"/>
      <c r="M113" s="7"/>
      <c r="N113" s="5">
        <v>616215</v>
      </c>
      <c r="O113" s="7">
        <v>123.30499999999999</v>
      </c>
      <c r="P113" s="7">
        <f t="shared" si="40"/>
        <v>7.2881359158333057</v>
      </c>
      <c r="Q113" t="s">
        <v>23</v>
      </c>
      <c r="R113" t="s">
        <v>129</v>
      </c>
      <c r="S113" s="8">
        <f t="shared" si="35"/>
        <v>130.5931359158333</v>
      </c>
      <c r="T113" s="8">
        <f t="shared" si="36"/>
        <v>1.3768385441837987</v>
      </c>
      <c r="U113" s="8">
        <f t="shared" si="37"/>
        <v>1.4806477994992437</v>
      </c>
      <c r="V113" s="8">
        <f t="shared" si="41"/>
        <v>12.90600568081957</v>
      </c>
      <c r="W113" s="4">
        <f t="shared" si="42"/>
        <v>16.124500000000001</v>
      </c>
      <c r="X113" s="12">
        <f t="shared" si="29"/>
        <v>11.871488595318665</v>
      </c>
      <c r="Y113" s="8">
        <f t="shared" si="30"/>
        <v>171.49513019197153</v>
      </c>
      <c r="Z113" s="9">
        <f t="shared" si="38"/>
        <v>4.2720309834910965E-2</v>
      </c>
      <c r="AA113" s="8">
        <f t="shared" si="39"/>
        <v>3842.8748698080285</v>
      </c>
    </row>
    <row r="114" spans="1:27" x14ac:dyDescent="0.25">
      <c r="A114">
        <v>1</v>
      </c>
      <c r="B114" t="s">
        <v>14</v>
      </c>
      <c r="C114" t="s">
        <v>12</v>
      </c>
      <c r="D114" t="s">
        <v>209</v>
      </c>
      <c r="E114">
        <v>20943</v>
      </c>
      <c r="F114" t="s">
        <v>178</v>
      </c>
      <c r="G114">
        <v>25784</v>
      </c>
      <c r="H114" s="3">
        <v>152.5</v>
      </c>
      <c r="I114" s="3">
        <v>142</v>
      </c>
      <c r="J114" s="3">
        <v>6479.05</v>
      </c>
      <c r="K114" s="2">
        <v>46142</v>
      </c>
      <c r="L114" s="5"/>
      <c r="M114" s="7"/>
      <c r="N114" s="5">
        <v>616216</v>
      </c>
      <c r="O114" s="7">
        <v>198.25</v>
      </c>
      <c r="P114" s="7">
        <f t="shared" si="40"/>
        <v>11.717877988029301</v>
      </c>
      <c r="Q114" t="s">
        <v>24</v>
      </c>
      <c r="R114" t="s">
        <v>138</v>
      </c>
      <c r="S114" s="8">
        <f t="shared" si="35"/>
        <v>209.9678779880293</v>
      </c>
      <c r="T114" s="8">
        <f t="shared" si="36"/>
        <v>1.3768385441837987</v>
      </c>
      <c r="U114" s="8">
        <f t="shared" si="37"/>
        <v>1.4786470280847135</v>
      </c>
      <c r="V114" s="8">
        <f t="shared" si="41"/>
        <v>20.750299065102631</v>
      </c>
      <c r="W114" s="4">
        <f t="shared" si="42"/>
        <v>25.925000000000001</v>
      </c>
      <c r="X114" s="12">
        <f t="shared" si="29"/>
        <v>19.08700064086554</v>
      </c>
      <c r="Y114" s="8">
        <f t="shared" si="30"/>
        <v>275.73017769399746</v>
      </c>
      <c r="Z114" s="9">
        <f t="shared" si="38"/>
        <v>4.2557192442410144E-2</v>
      </c>
      <c r="AA114" s="8">
        <f t="shared" si="39"/>
        <v>6203.3198223060026</v>
      </c>
    </row>
    <row r="115" spans="1:27" x14ac:dyDescent="0.25">
      <c r="A115">
        <v>1</v>
      </c>
      <c r="B115" t="s">
        <v>14</v>
      </c>
      <c r="C115" t="s">
        <v>12</v>
      </c>
      <c r="D115" t="s">
        <v>209</v>
      </c>
      <c r="E115">
        <v>20944</v>
      </c>
      <c r="F115" t="s">
        <v>178</v>
      </c>
      <c r="G115">
        <v>25785</v>
      </c>
      <c r="H115" s="3">
        <v>46.5</v>
      </c>
      <c r="I115" s="3">
        <v>43</v>
      </c>
      <c r="J115" s="3">
        <v>1952.8</v>
      </c>
      <c r="K115" s="2">
        <v>46142</v>
      </c>
      <c r="L115" s="5"/>
      <c r="M115" s="7"/>
      <c r="N115" s="5">
        <v>616217</v>
      </c>
      <c r="O115" s="7">
        <v>60.45</v>
      </c>
      <c r="P115" s="7">
        <f t="shared" si="40"/>
        <v>3.5729923045466392</v>
      </c>
      <c r="Q115" t="s">
        <v>94</v>
      </c>
      <c r="R115" t="s">
        <v>138</v>
      </c>
      <c r="S115" s="8">
        <f t="shared" si="35"/>
        <v>64.022992304546648</v>
      </c>
      <c r="T115" s="8">
        <f t="shared" si="36"/>
        <v>1.3768385441837989</v>
      </c>
      <c r="U115" s="8">
        <f t="shared" si="37"/>
        <v>1.4889067977801547</v>
      </c>
      <c r="V115" s="8">
        <f t="shared" si="41"/>
        <v>6.3271403706706382</v>
      </c>
      <c r="W115" s="4">
        <f t="shared" si="42"/>
        <v>7.9050000000000002</v>
      </c>
      <c r="X115" s="12">
        <f t="shared" si="29"/>
        <v>5.819970687214739</v>
      </c>
      <c r="Y115" s="8">
        <f t="shared" si="30"/>
        <v>84.075103362432017</v>
      </c>
      <c r="Z115" s="9">
        <f t="shared" si="38"/>
        <v>4.3053617043441225E-2</v>
      </c>
      <c r="AA115" s="8">
        <f t="shared" si="39"/>
        <v>1868.724896637568</v>
      </c>
    </row>
    <row r="116" spans="1:27" x14ac:dyDescent="0.25">
      <c r="A116">
        <v>1</v>
      </c>
      <c r="B116" t="s">
        <v>14</v>
      </c>
      <c r="C116" t="s">
        <v>12</v>
      </c>
      <c r="D116" t="s">
        <v>209</v>
      </c>
      <c r="E116">
        <v>20945</v>
      </c>
      <c r="F116" t="s">
        <v>193</v>
      </c>
      <c r="G116">
        <v>25786</v>
      </c>
      <c r="H116" s="3">
        <v>152.5</v>
      </c>
      <c r="I116" s="3">
        <v>142</v>
      </c>
      <c r="J116" s="3">
        <v>6466.5</v>
      </c>
      <c r="K116" s="2">
        <v>46142</v>
      </c>
      <c r="L116" s="5"/>
      <c r="M116" s="7"/>
      <c r="N116" s="5">
        <v>616218</v>
      </c>
      <c r="O116" s="7">
        <v>198.25</v>
      </c>
      <c r="P116" s="7">
        <f t="shared" si="40"/>
        <v>11.717877988029301</v>
      </c>
      <c r="Q116" t="s">
        <v>53</v>
      </c>
      <c r="R116" t="s">
        <v>91</v>
      </c>
      <c r="S116" s="8">
        <f t="shared" si="35"/>
        <v>209.9678779880293</v>
      </c>
      <c r="T116" s="8">
        <f t="shared" si="36"/>
        <v>1.3768385441837987</v>
      </c>
      <c r="U116" s="8">
        <f t="shared" si="37"/>
        <v>1.4786470280847135</v>
      </c>
      <c r="V116" s="8">
        <f t="shared" si="41"/>
        <v>20.750299065102631</v>
      </c>
      <c r="W116" s="4">
        <f t="shared" si="42"/>
        <v>25.925000000000001</v>
      </c>
      <c r="X116" s="12">
        <f t="shared" si="29"/>
        <v>19.08700064086554</v>
      </c>
      <c r="Y116" s="8">
        <f t="shared" si="30"/>
        <v>275.73017769399746</v>
      </c>
      <c r="Z116" s="9">
        <f t="shared" si="38"/>
        <v>4.2639786235830431E-2</v>
      </c>
      <c r="AA116" s="8">
        <f t="shared" si="39"/>
        <v>6190.7698223060024</v>
      </c>
    </row>
    <row r="117" spans="1:27" x14ac:dyDescent="0.25">
      <c r="A117">
        <v>1</v>
      </c>
      <c r="B117" t="s">
        <v>14</v>
      </c>
      <c r="C117" t="s">
        <v>12</v>
      </c>
      <c r="D117" t="s">
        <v>209</v>
      </c>
      <c r="E117">
        <v>20946</v>
      </c>
      <c r="F117" t="s">
        <v>159</v>
      </c>
      <c r="G117">
        <v>25787</v>
      </c>
      <c r="H117" s="3">
        <v>58.4</v>
      </c>
      <c r="I117" s="3">
        <v>54.2</v>
      </c>
      <c r="J117" s="3">
        <v>2464.98</v>
      </c>
      <c r="K117" s="2">
        <v>46142</v>
      </c>
      <c r="L117" s="5"/>
      <c r="M117" s="7"/>
      <c r="N117" s="5">
        <v>616219</v>
      </c>
      <c r="O117" s="7">
        <v>75.92</v>
      </c>
      <c r="P117" s="7">
        <f t="shared" si="40"/>
        <v>4.4873709803338437</v>
      </c>
      <c r="Q117" t="s">
        <v>57</v>
      </c>
      <c r="R117" t="s">
        <v>91</v>
      </c>
      <c r="S117" s="8">
        <f t="shared" si="35"/>
        <v>80.407370980333852</v>
      </c>
      <c r="T117" s="8">
        <f t="shared" si="36"/>
        <v>1.3768385441837989</v>
      </c>
      <c r="U117" s="8">
        <f t="shared" si="37"/>
        <v>1.4835308298954584</v>
      </c>
      <c r="V117" s="8">
        <f t="shared" si="41"/>
        <v>7.9463440354229089</v>
      </c>
      <c r="W117" s="4">
        <f t="shared" si="42"/>
        <v>9.9280000000000008</v>
      </c>
      <c r="X117" s="12">
        <f t="shared" si="29"/>
        <v>7.309382540501951</v>
      </c>
      <c r="Y117" s="8">
        <f t="shared" si="30"/>
        <v>105.59109755625872</v>
      </c>
      <c r="Z117" s="9">
        <f t="shared" si="38"/>
        <v>4.2836492610998353E-2</v>
      </c>
      <c r="AA117" s="8">
        <f t="shared" si="39"/>
        <v>2359.3889024437412</v>
      </c>
    </row>
    <row r="118" spans="1:27" x14ac:dyDescent="0.25">
      <c r="A118">
        <v>1</v>
      </c>
      <c r="B118" t="s">
        <v>14</v>
      </c>
      <c r="C118" t="s">
        <v>12</v>
      </c>
      <c r="D118" t="s">
        <v>209</v>
      </c>
      <c r="E118">
        <v>20947</v>
      </c>
      <c r="F118" t="s">
        <v>159</v>
      </c>
      <c r="G118">
        <v>25788</v>
      </c>
      <c r="H118" s="3">
        <v>41.65</v>
      </c>
      <c r="I118" s="3">
        <v>39.200000000000003</v>
      </c>
      <c r="J118" s="3">
        <v>1775.06</v>
      </c>
      <c r="K118" s="2">
        <v>46142</v>
      </c>
      <c r="L118" s="5"/>
      <c r="M118" s="7"/>
      <c r="N118" s="5">
        <v>616220</v>
      </c>
      <c r="O118" s="7">
        <v>54.145000000000003</v>
      </c>
      <c r="P118" s="7">
        <f t="shared" si="40"/>
        <v>3.2003253652552153</v>
      </c>
      <c r="Q118" t="s">
        <v>95</v>
      </c>
      <c r="R118" t="s">
        <v>128</v>
      </c>
      <c r="S118" s="8">
        <f t="shared" si="35"/>
        <v>57.345325365255221</v>
      </c>
      <c r="T118" s="8">
        <f t="shared" si="36"/>
        <v>1.3768385441837989</v>
      </c>
      <c r="U118" s="8">
        <f t="shared" si="37"/>
        <v>1.4628909531952861</v>
      </c>
      <c r="V118" s="8">
        <f t="shared" si="41"/>
        <v>5.667212826632948</v>
      </c>
      <c r="W118" s="4">
        <f t="shared" si="42"/>
        <v>7.0805000000000007</v>
      </c>
      <c r="X118" s="12">
        <f t="shared" si="29"/>
        <v>5.2129414865052448</v>
      </c>
      <c r="Y118" s="8">
        <f t="shared" si="30"/>
        <v>75.305979678393413</v>
      </c>
      <c r="Z118" s="9">
        <f t="shared" si="38"/>
        <v>4.2424469977574514E-2</v>
      </c>
      <c r="AA118" s="8">
        <f t="shared" si="39"/>
        <v>1699.7540203216065</v>
      </c>
    </row>
    <row r="119" spans="1:27" x14ac:dyDescent="0.25">
      <c r="A119">
        <v>1</v>
      </c>
      <c r="B119" t="s">
        <v>14</v>
      </c>
      <c r="C119" t="s">
        <v>12</v>
      </c>
      <c r="D119" t="s">
        <v>209</v>
      </c>
      <c r="E119">
        <v>20948</v>
      </c>
      <c r="F119" t="s">
        <v>181</v>
      </c>
      <c r="G119">
        <v>25789</v>
      </c>
      <c r="H119" s="3">
        <v>245.5</v>
      </c>
      <c r="I119" s="3">
        <v>228</v>
      </c>
      <c r="J119" s="3">
        <v>10397.200000000001</v>
      </c>
      <c r="K119" s="2">
        <v>46142</v>
      </c>
      <c r="L119" s="5"/>
      <c r="M119" s="7"/>
      <c r="N119" s="5">
        <v>616221</v>
      </c>
      <c r="O119" s="7">
        <v>319.15000000000003</v>
      </c>
      <c r="P119" s="7">
        <f t="shared" si="40"/>
        <v>18.86386259712258</v>
      </c>
      <c r="Q119" t="s">
        <v>27</v>
      </c>
      <c r="R119" t="s">
        <v>128</v>
      </c>
      <c r="S119" s="8">
        <f t="shared" si="35"/>
        <v>338.01386259712262</v>
      </c>
      <c r="T119" s="8">
        <f t="shared" si="36"/>
        <v>1.3768385441837989</v>
      </c>
      <c r="U119" s="8">
        <f t="shared" si="37"/>
        <v>1.4825169412154502</v>
      </c>
      <c r="V119" s="8">
        <f t="shared" si="41"/>
        <v>33.404579806443905</v>
      </c>
      <c r="W119" s="4">
        <f t="shared" si="42"/>
        <v>41.735000000000007</v>
      </c>
      <c r="X119" s="12">
        <f t="shared" si="29"/>
        <v>30.726942015295016</v>
      </c>
      <c r="Y119" s="8">
        <f t="shared" si="30"/>
        <v>443.88038441886158</v>
      </c>
      <c r="Z119" s="9">
        <f t="shared" si="38"/>
        <v>4.2692300274964561E-2</v>
      </c>
      <c r="AA119" s="8">
        <f t="shared" si="39"/>
        <v>9953.3196155811384</v>
      </c>
    </row>
    <row r="120" spans="1:27" x14ac:dyDescent="0.25">
      <c r="A120">
        <v>1</v>
      </c>
      <c r="B120" t="s">
        <v>14</v>
      </c>
      <c r="C120" t="s">
        <v>12</v>
      </c>
      <c r="D120" t="s">
        <v>209</v>
      </c>
      <c r="E120">
        <v>20949</v>
      </c>
      <c r="F120" t="s">
        <v>178</v>
      </c>
      <c r="G120">
        <v>25790</v>
      </c>
      <c r="H120" s="3">
        <v>63.25</v>
      </c>
      <c r="I120" s="3">
        <v>58</v>
      </c>
      <c r="J120" s="3">
        <v>2637.7</v>
      </c>
      <c r="K120" s="2">
        <v>46142</v>
      </c>
      <c r="L120" s="5"/>
      <c r="M120" s="7"/>
      <c r="N120" s="5">
        <v>616222</v>
      </c>
      <c r="O120" s="7">
        <v>82.225000000000009</v>
      </c>
      <c r="P120" s="7">
        <f t="shared" si="40"/>
        <v>4.8600379196252677</v>
      </c>
      <c r="Q120" t="s">
        <v>22</v>
      </c>
      <c r="R120" t="s">
        <v>138</v>
      </c>
      <c r="S120" s="8">
        <f t="shared" si="35"/>
        <v>87.085037919625279</v>
      </c>
      <c r="T120" s="8">
        <f t="shared" si="36"/>
        <v>1.3768385441837989</v>
      </c>
      <c r="U120" s="8">
        <f t="shared" si="37"/>
        <v>1.5014661710280222</v>
      </c>
      <c r="V120" s="8">
        <f t="shared" si="41"/>
        <v>8.6062715794605982</v>
      </c>
      <c r="W120" s="4">
        <f t="shared" si="42"/>
        <v>10.752500000000001</v>
      </c>
      <c r="X120" s="12">
        <f t="shared" si="29"/>
        <v>7.9164117412114452</v>
      </c>
      <c r="Y120" s="8">
        <f t="shared" si="30"/>
        <v>114.36022124029732</v>
      </c>
      <c r="Z120" s="9">
        <f t="shared" si="38"/>
        <v>4.3356037927094561E-2</v>
      </c>
      <c r="AA120" s="8">
        <f t="shared" si="39"/>
        <v>2523.3397787597023</v>
      </c>
    </row>
    <row r="121" spans="1:27" x14ac:dyDescent="0.25">
      <c r="A121">
        <v>1</v>
      </c>
      <c r="B121" t="s">
        <v>14</v>
      </c>
      <c r="C121" t="s">
        <v>12</v>
      </c>
      <c r="D121" t="s">
        <v>209</v>
      </c>
      <c r="E121">
        <v>20950</v>
      </c>
      <c r="F121" t="s">
        <v>181</v>
      </c>
      <c r="G121">
        <v>25791</v>
      </c>
      <c r="H121" s="3">
        <v>46.5</v>
      </c>
      <c r="I121" s="3">
        <v>43</v>
      </c>
      <c r="J121" s="3">
        <v>1952.8</v>
      </c>
      <c r="K121" s="2">
        <v>46142</v>
      </c>
      <c r="L121" s="5"/>
      <c r="M121" s="7"/>
      <c r="N121" s="5">
        <v>616223</v>
      </c>
      <c r="O121" s="7">
        <v>60.45</v>
      </c>
      <c r="P121" s="7">
        <f t="shared" si="40"/>
        <v>3.5729923045466392</v>
      </c>
      <c r="Q121" t="s">
        <v>28</v>
      </c>
      <c r="R121" t="s">
        <v>91</v>
      </c>
      <c r="S121" s="8">
        <f t="shared" si="35"/>
        <v>64.022992304546648</v>
      </c>
      <c r="T121" s="8">
        <f t="shared" si="36"/>
        <v>1.3768385441837989</v>
      </c>
      <c r="U121" s="8">
        <f t="shared" si="37"/>
        <v>1.4889067977801547</v>
      </c>
      <c r="V121" s="8">
        <f t="shared" si="41"/>
        <v>6.3271403706706382</v>
      </c>
      <c r="W121" s="4">
        <f t="shared" si="42"/>
        <v>7.9050000000000002</v>
      </c>
      <c r="X121" s="12">
        <f t="shared" si="29"/>
        <v>5.819970687214739</v>
      </c>
      <c r="Y121" s="8">
        <f t="shared" si="30"/>
        <v>84.075103362432017</v>
      </c>
      <c r="Z121" s="9">
        <f t="shared" si="38"/>
        <v>4.3053617043441225E-2</v>
      </c>
      <c r="AA121" s="8">
        <f t="shared" si="39"/>
        <v>1868.724896637568</v>
      </c>
    </row>
    <row r="122" spans="1:27" x14ac:dyDescent="0.25">
      <c r="A122">
        <v>1</v>
      </c>
      <c r="B122" t="s">
        <v>14</v>
      </c>
      <c r="C122" t="s">
        <v>12</v>
      </c>
      <c r="D122" t="s">
        <v>209</v>
      </c>
      <c r="E122">
        <v>20951</v>
      </c>
      <c r="F122" t="s">
        <v>159</v>
      </c>
      <c r="G122">
        <v>25792</v>
      </c>
      <c r="H122" s="3">
        <v>58.4</v>
      </c>
      <c r="I122" s="3">
        <v>54.2</v>
      </c>
      <c r="J122" s="3">
        <v>2472.5100000000002</v>
      </c>
      <c r="K122" s="2">
        <v>46142</v>
      </c>
      <c r="L122" s="5"/>
      <c r="M122" s="7"/>
      <c r="N122" s="5">
        <v>616224</v>
      </c>
      <c r="O122" s="7">
        <v>75.92</v>
      </c>
      <c r="P122" s="7">
        <f t="shared" si="40"/>
        <v>4.4873709803338437</v>
      </c>
      <c r="Q122" t="s">
        <v>96</v>
      </c>
      <c r="R122" t="s">
        <v>91</v>
      </c>
      <c r="S122" s="8">
        <f t="shared" si="35"/>
        <v>80.407370980333852</v>
      </c>
      <c r="T122" s="8">
        <f t="shared" si="36"/>
        <v>1.3768385441837989</v>
      </c>
      <c r="U122" s="8">
        <f t="shared" si="37"/>
        <v>1.4835308298954584</v>
      </c>
      <c r="V122" s="8">
        <f t="shared" si="41"/>
        <v>7.9463440354229089</v>
      </c>
      <c r="W122" s="4">
        <f t="shared" si="42"/>
        <v>9.9280000000000008</v>
      </c>
      <c r="X122" s="12">
        <f t="shared" si="29"/>
        <v>7.309382540501951</v>
      </c>
      <c r="Y122" s="8">
        <f t="shared" si="30"/>
        <v>105.59109755625872</v>
      </c>
      <c r="Z122" s="9">
        <f t="shared" si="38"/>
        <v>4.2706034578731213E-2</v>
      </c>
      <c r="AA122" s="8">
        <f t="shared" si="39"/>
        <v>2366.9189024437414</v>
      </c>
    </row>
    <row r="123" spans="1:27" x14ac:dyDescent="0.25">
      <c r="A123">
        <v>1</v>
      </c>
      <c r="B123" t="s">
        <v>14</v>
      </c>
      <c r="C123" t="s">
        <v>12</v>
      </c>
      <c r="D123" t="s">
        <v>209</v>
      </c>
      <c r="E123">
        <v>20952</v>
      </c>
      <c r="F123" t="s">
        <v>159</v>
      </c>
      <c r="G123">
        <v>25793</v>
      </c>
      <c r="H123" s="3">
        <v>41.65</v>
      </c>
      <c r="I123" s="3">
        <v>39.200000000000003</v>
      </c>
      <c r="J123" s="3">
        <v>1775.06</v>
      </c>
      <c r="K123" s="2">
        <v>46142</v>
      </c>
      <c r="L123" s="5"/>
      <c r="M123" s="7"/>
      <c r="N123" s="5">
        <v>616220</v>
      </c>
      <c r="O123" s="7">
        <v>54.145000000000003</v>
      </c>
      <c r="P123" s="7">
        <f t="shared" si="40"/>
        <v>3.2003253652552153</v>
      </c>
      <c r="Q123" t="s">
        <v>95</v>
      </c>
      <c r="R123" t="s">
        <v>128</v>
      </c>
      <c r="S123" s="8">
        <f t="shared" si="35"/>
        <v>57.345325365255221</v>
      </c>
      <c r="T123" s="8">
        <f t="shared" si="36"/>
        <v>1.3768385441837989</v>
      </c>
      <c r="U123" s="8">
        <f t="shared" si="37"/>
        <v>1.4628909531952861</v>
      </c>
      <c r="V123" s="8">
        <f t="shared" si="41"/>
        <v>5.667212826632948</v>
      </c>
      <c r="W123" s="4">
        <f t="shared" si="42"/>
        <v>7.0805000000000007</v>
      </c>
      <c r="X123" s="12">
        <f t="shared" si="29"/>
        <v>5.2129414865052448</v>
      </c>
      <c r="Y123" s="8">
        <f t="shared" si="30"/>
        <v>75.305979678393413</v>
      </c>
      <c r="Z123" s="9">
        <f t="shared" si="38"/>
        <v>4.2424469977574514E-2</v>
      </c>
      <c r="AA123" s="8">
        <f t="shared" si="39"/>
        <v>1699.7540203216065</v>
      </c>
    </row>
    <row r="124" spans="1:27" x14ac:dyDescent="0.25">
      <c r="A124">
        <v>2</v>
      </c>
      <c r="B124" t="s">
        <v>14</v>
      </c>
      <c r="C124" t="s">
        <v>31</v>
      </c>
      <c r="D124" t="s">
        <v>209</v>
      </c>
      <c r="E124">
        <v>3207</v>
      </c>
      <c r="F124" t="s">
        <v>181</v>
      </c>
      <c r="G124">
        <v>25794</v>
      </c>
      <c r="H124" s="3">
        <v>93</v>
      </c>
      <c r="I124" s="3">
        <v>86</v>
      </c>
      <c r="J124" s="3">
        <v>4058</v>
      </c>
      <c r="K124" s="2">
        <v>46142</v>
      </c>
      <c r="L124" s="5"/>
      <c r="M124" s="7"/>
      <c r="N124" s="5">
        <v>616213</v>
      </c>
      <c r="O124" s="7">
        <v>120.9</v>
      </c>
      <c r="P124" s="7">
        <f t="shared" si="40"/>
        <v>7.1459846090932784</v>
      </c>
      <c r="Q124" t="s">
        <v>117</v>
      </c>
      <c r="R124" t="s">
        <v>91</v>
      </c>
      <c r="S124" s="8">
        <f t="shared" si="35"/>
        <v>128.0459846090933</v>
      </c>
      <c r="T124" s="8">
        <f t="shared" si="36"/>
        <v>1.3768385441837989</v>
      </c>
      <c r="U124" s="8">
        <f t="shared" si="37"/>
        <v>1.4889067977801547</v>
      </c>
      <c r="V124" s="8">
        <f t="shared" si="41"/>
        <v>12.654280741341276</v>
      </c>
      <c r="W124" s="4">
        <f t="shared" si="42"/>
        <v>15.81</v>
      </c>
      <c r="X124" s="12">
        <f t="shared" si="29"/>
        <v>11.639941374429478</v>
      </c>
      <c r="Y124" s="8">
        <f t="shared" si="30"/>
        <v>168.15020672486403</v>
      </c>
      <c r="Z124" s="9">
        <f t="shared" si="38"/>
        <v>4.1436719252061126E-2</v>
      </c>
      <c r="AA124" s="8">
        <f t="shared" si="39"/>
        <v>3889.8497932751361</v>
      </c>
    </row>
    <row r="125" spans="1:27" x14ac:dyDescent="0.25">
      <c r="A125">
        <v>2</v>
      </c>
      <c r="B125" t="s">
        <v>194</v>
      </c>
      <c r="C125" t="s">
        <v>33</v>
      </c>
      <c r="D125" t="s">
        <v>209</v>
      </c>
      <c r="E125">
        <v>3208</v>
      </c>
      <c r="F125" t="s">
        <v>188</v>
      </c>
      <c r="G125">
        <v>25795</v>
      </c>
      <c r="H125" s="3">
        <v>135.75</v>
      </c>
      <c r="I125" s="3">
        <v>127</v>
      </c>
      <c r="J125" s="3">
        <v>6080.4</v>
      </c>
      <c r="K125" s="2">
        <v>46142</v>
      </c>
      <c r="L125" s="5"/>
      <c r="M125" s="7">
        <v>425.62799999999999</v>
      </c>
      <c r="N125" s="5"/>
      <c r="O125" s="7">
        <v>176.47499999999999</v>
      </c>
      <c r="P125" s="7"/>
      <c r="Q125" t="s">
        <v>150</v>
      </c>
      <c r="R125" t="s">
        <v>129</v>
      </c>
      <c r="S125" s="8">
        <f t="shared" si="35"/>
        <v>602.10299999999995</v>
      </c>
      <c r="T125" s="8">
        <f t="shared" si="36"/>
        <v>4.4353812154696133</v>
      </c>
      <c r="U125" s="8">
        <f t="shared" si="37"/>
        <v>4.7409685039370073</v>
      </c>
      <c r="V125" s="8">
        <f t="shared" si="41"/>
        <v>18.471167856312668</v>
      </c>
      <c r="W125" s="4">
        <f t="shared" si="42"/>
        <v>23.077500000000001</v>
      </c>
      <c r="X125" s="12">
        <f t="shared" si="29"/>
        <v>16.990559586868834</v>
      </c>
      <c r="Y125" s="8">
        <f t="shared" si="30"/>
        <v>660.64222744318147</v>
      </c>
      <c r="Z125" s="9">
        <f t="shared" si="38"/>
        <v>0.10865111299308952</v>
      </c>
      <c r="AA125" s="8">
        <f t="shared" si="39"/>
        <v>5419.7577725568181</v>
      </c>
    </row>
    <row r="126" spans="1:27" x14ac:dyDescent="0.25">
      <c r="A126">
        <v>1</v>
      </c>
      <c r="B126" t="s">
        <v>14</v>
      </c>
      <c r="C126" t="s">
        <v>18</v>
      </c>
      <c r="D126" t="s">
        <v>206</v>
      </c>
      <c r="E126">
        <v>20954</v>
      </c>
      <c r="F126" t="s">
        <v>181</v>
      </c>
      <c r="G126">
        <v>25800</v>
      </c>
      <c r="H126" s="3">
        <v>2271.25</v>
      </c>
      <c r="I126" s="3">
        <v>2140</v>
      </c>
      <c r="J126" s="3">
        <v>17340</v>
      </c>
      <c r="K126" s="2">
        <v>46142</v>
      </c>
      <c r="L126" s="5"/>
      <c r="M126" s="7"/>
      <c r="N126" s="5">
        <v>617510</v>
      </c>
      <c r="O126" s="7">
        <v>773.46676573480784</v>
      </c>
      <c r="P126" s="7"/>
      <c r="Q126" t="s">
        <v>19</v>
      </c>
      <c r="R126" t="s">
        <v>206</v>
      </c>
      <c r="S126" s="8">
        <f t="shared" si="35"/>
        <v>773.46676573480784</v>
      </c>
      <c r="T126" s="8">
        <f t="shared" si="36"/>
        <v>0.34054673229930998</v>
      </c>
      <c r="U126" s="8">
        <f t="shared" si="37"/>
        <v>0.36143306810037751</v>
      </c>
      <c r="V126" s="8"/>
      <c r="X126" s="12">
        <f t="shared" si="29"/>
        <v>0</v>
      </c>
      <c r="Y126" s="8">
        <v>0</v>
      </c>
      <c r="Z126" s="9">
        <f t="shared" si="38"/>
        <v>0</v>
      </c>
      <c r="AA126" s="8">
        <f t="shared" si="39"/>
        <v>17340</v>
      </c>
    </row>
    <row r="127" spans="1:27" x14ac:dyDescent="0.25">
      <c r="A127">
        <v>4</v>
      </c>
      <c r="B127" t="s">
        <v>205</v>
      </c>
      <c r="C127" t="s">
        <v>39</v>
      </c>
      <c r="D127" t="s">
        <v>209</v>
      </c>
      <c r="E127">
        <v>2424</v>
      </c>
      <c r="F127" t="s">
        <v>163</v>
      </c>
      <c r="G127">
        <v>25807</v>
      </c>
      <c r="H127" s="3">
        <v>83.75</v>
      </c>
      <c r="I127" s="3">
        <v>75</v>
      </c>
      <c r="J127" s="3">
        <v>3033.5</v>
      </c>
      <c r="K127" s="2">
        <v>46142</v>
      </c>
      <c r="L127" s="5">
        <v>35</v>
      </c>
      <c r="M127" s="7">
        <v>132.39584381242574</v>
      </c>
      <c r="N127" s="5">
        <v>10933</v>
      </c>
      <c r="O127" s="7">
        <v>175.55</v>
      </c>
      <c r="P127" s="7"/>
      <c r="Q127" t="s">
        <v>101</v>
      </c>
      <c r="R127" t="s">
        <v>41</v>
      </c>
      <c r="S127" s="8">
        <f t="shared" si="35"/>
        <v>307.94584381242578</v>
      </c>
      <c r="T127" s="8">
        <f>SUM(M127+O127+P127)/H127</f>
        <v>3.6769652992528452</v>
      </c>
      <c r="U127" s="8">
        <f t="shared" si="37"/>
        <v>4.1059445841656768</v>
      </c>
      <c r="V127" s="8">
        <f t="shared" ref="V127:V163" si="43">H127*0.136067534853132</f>
        <v>11.395656043949804</v>
      </c>
      <c r="W127" s="4">
        <f t="shared" ref="W127:W163" si="44">H127*0.17</f>
        <v>14.237500000000001</v>
      </c>
      <c r="X127" s="12">
        <f t="shared" si="29"/>
        <v>10.482205269983535</v>
      </c>
      <c r="Y127" s="8">
        <f t="shared" si="30"/>
        <v>344.06120512635914</v>
      </c>
      <c r="Z127" s="9">
        <f t="shared" si="38"/>
        <v>0.11342053902302922</v>
      </c>
      <c r="AA127" s="8">
        <f t="shared" si="39"/>
        <v>2689.4387948736407</v>
      </c>
    </row>
    <row r="128" spans="1:27" x14ac:dyDescent="0.25">
      <c r="A128">
        <v>4</v>
      </c>
      <c r="B128" t="s">
        <v>205</v>
      </c>
      <c r="C128" t="s">
        <v>39</v>
      </c>
      <c r="D128" t="s">
        <v>209</v>
      </c>
      <c r="E128">
        <v>2425</v>
      </c>
      <c r="F128" t="s">
        <v>164</v>
      </c>
      <c r="G128">
        <v>25808</v>
      </c>
      <c r="H128" s="3">
        <v>83.75</v>
      </c>
      <c r="I128" s="3">
        <v>75</v>
      </c>
      <c r="J128" s="3">
        <v>3033.5</v>
      </c>
      <c r="K128" s="2">
        <v>46142</v>
      </c>
      <c r="L128" s="5">
        <v>35</v>
      </c>
      <c r="M128" s="7">
        <v>132.39584381242574</v>
      </c>
      <c r="N128" s="5">
        <v>190121</v>
      </c>
      <c r="O128" s="7">
        <v>213.81</v>
      </c>
      <c r="P128" s="7"/>
      <c r="Q128" t="s">
        <v>102</v>
      </c>
      <c r="R128" t="s">
        <v>41</v>
      </c>
      <c r="S128" s="8">
        <f t="shared" si="35"/>
        <v>346.20584381242577</v>
      </c>
      <c r="T128" s="8">
        <f t="shared" si="36"/>
        <v>4.1338011201483678</v>
      </c>
      <c r="U128" s="8">
        <f t="shared" si="37"/>
        <v>4.6160779174990099</v>
      </c>
      <c r="V128" s="8">
        <f t="shared" si="43"/>
        <v>11.395656043949804</v>
      </c>
      <c r="W128" s="4">
        <f t="shared" si="44"/>
        <v>14.237500000000001</v>
      </c>
      <c r="X128" s="12">
        <f t="shared" si="29"/>
        <v>10.482205269983535</v>
      </c>
      <c r="Y128" s="8">
        <f t="shared" si="30"/>
        <v>382.32120512635913</v>
      </c>
      <c r="Z128" s="9">
        <f t="shared" si="38"/>
        <v>0.12603303284205014</v>
      </c>
      <c r="AA128" s="8">
        <f t="shared" si="39"/>
        <v>2651.178794873641</v>
      </c>
    </row>
    <row r="129" spans="1:27" x14ac:dyDescent="0.25">
      <c r="A129">
        <v>4</v>
      </c>
      <c r="B129" t="s">
        <v>205</v>
      </c>
      <c r="C129" t="s">
        <v>39</v>
      </c>
      <c r="D129" t="s">
        <v>209</v>
      </c>
      <c r="E129">
        <v>2426</v>
      </c>
      <c r="F129" t="s">
        <v>163</v>
      </c>
      <c r="G129">
        <v>25809</v>
      </c>
      <c r="H129" s="3">
        <v>103.95</v>
      </c>
      <c r="I129" s="3">
        <v>95.2</v>
      </c>
      <c r="J129" s="3">
        <v>3771.32</v>
      </c>
      <c r="K129" s="2">
        <v>46142</v>
      </c>
      <c r="L129" s="5">
        <v>35</v>
      </c>
      <c r="M129" s="7">
        <v>164.32893091703471</v>
      </c>
      <c r="N129" s="5">
        <v>10934</v>
      </c>
      <c r="O129" s="7">
        <v>187.54</v>
      </c>
      <c r="P129" s="7"/>
      <c r="Q129" t="s">
        <v>103</v>
      </c>
      <c r="R129" t="s">
        <v>41</v>
      </c>
      <c r="S129" s="8">
        <f t="shared" si="35"/>
        <v>351.86893091703473</v>
      </c>
      <c r="T129" s="8">
        <f t="shared" si="36"/>
        <v>3.3849825004043743</v>
      </c>
      <c r="U129" s="8">
        <f t="shared" si="37"/>
        <v>3.6961022155150705</v>
      </c>
      <c r="V129" s="8">
        <f t="shared" si="43"/>
        <v>14.144220247983071</v>
      </c>
      <c r="W129" s="4">
        <f t="shared" si="44"/>
        <v>17.671500000000002</v>
      </c>
      <c r="X129" s="12">
        <f t="shared" si="29"/>
        <v>13.010450600773593</v>
      </c>
      <c r="Y129" s="8">
        <f t="shared" si="30"/>
        <v>396.69510176579138</v>
      </c>
      <c r="Z129" s="9">
        <f t="shared" si="38"/>
        <v>0.10518733540664578</v>
      </c>
      <c r="AA129" s="8">
        <f t="shared" si="39"/>
        <v>3374.6248982342086</v>
      </c>
    </row>
    <row r="130" spans="1:27" x14ac:dyDescent="0.25">
      <c r="A130">
        <v>4</v>
      </c>
      <c r="B130" t="s">
        <v>205</v>
      </c>
      <c r="C130" t="s">
        <v>39</v>
      </c>
      <c r="D130" t="s">
        <v>209</v>
      </c>
      <c r="E130">
        <v>2427</v>
      </c>
      <c r="F130" t="s">
        <v>165</v>
      </c>
      <c r="G130">
        <v>25810</v>
      </c>
      <c r="H130" s="3">
        <v>128.5</v>
      </c>
      <c r="I130" s="3">
        <v>118</v>
      </c>
      <c r="J130" s="3">
        <v>4854</v>
      </c>
      <c r="K130" s="2">
        <v>46142</v>
      </c>
      <c r="L130" s="5">
        <v>35</v>
      </c>
      <c r="M130" s="7">
        <v>203.13869767040845</v>
      </c>
      <c r="N130" s="5">
        <v>190127</v>
      </c>
      <c r="O130" s="7">
        <v>283.27</v>
      </c>
      <c r="P130" s="7"/>
      <c r="Q130" t="s">
        <v>104</v>
      </c>
      <c r="R130" t="s">
        <v>41</v>
      </c>
      <c r="S130" s="8">
        <f t="shared" ref="S130:S163" si="45">SUM(M130+O130+P130)</f>
        <v>486.4086976704084</v>
      </c>
      <c r="T130" s="8">
        <f t="shared" ref="T130:T163" si="46">SUM(M130+O130+P130)/H130</f>
        <v>3.7852816939331393</v>
      </c>
      <c r="U130" s="8">
        <f t="shared" ref="U130:U163" si="47">SUM(M130+O130+P130)/I130</f>
        <v>4.1221076073763427</v>
      </c>
      <c r="V130" s="8">
        <f t="shared" si="43"/>
        <v>17.484678228627462</v>
      </c>
      <c r="W130" s="4">
        <f t="shared" si="44"/>
        <v>21.845000000000002</v>
      </c>
      <c r="X130" s="12">
        <f t="shared" si="29"/>
        <v>16.083144802303096</v>
      </c>
      <c r="Y130" s="8">
        <f t="shared" si="30"/>
        <v>541.82152070133895</v>
      </c>
      <c r="Z130" s="9">
        <f t="shared" ref="Z130:Z161" si="48">Y130/J130</f>
        <v>0.11162371666694251</v>
      </c>
      <c r="AA130" s="8">
        <f t="shared" ref="AA130:AA163" si="49">J130-Y130</f>
        <v>4312.1784792986609</v>
      </c>
    </row>
    <row r="131" spans="1:27" x14ac:dyDescent="0.25">
      <c r="A131">
        <v>4</v>
      </c>
      <c r="B131" t="s">
        <v>205</v>
      </c>
      <c r="C131" t="s">
        <v>39</v>
      </c>
      <c r="D131" t="s">
        <v>209</v>
      </c>
      <c r="E131">
        <v>2428</v>
      </c>
      <c r="F131" t="s">
        <v>161</v>
      </c>
      <c r="G131">
        <v>25811</v>
      </c>
      <c r="H131" s="3">
        <v>83.75</v>
      </c>
      <c r="I131" s="3">
        <v>75</v>
      </c>
      <c r="J131" s="3">
        <v>3033.5</v>
      </c>
      <c r="K131" s="2">
        <v>46142</v>
      </c>
      <c r="L131" s="5">
        <v>35</v>
      </c>
      <c r="M131" s="7">
        <v>132.39584381242574</v>
      </c>
      <c r="N131" s="5">
        <v>190123</v>
      </c>
      <c r="O131" s="7">
        <v>333.68</v>
      </c>
      <c r="P131" s="7"/>
      <c r="Q131" t="s">
        <v>137</v>
      </c>
      <c r="R131" t="s">
        <v>41</v>
      </c>
      <c r="S131" s="8">
        <f t="shared" si="45"/>
        <v>466.07584381242577</v>
      </c>
      <c r="T131" s="8">
        <f t="shared" si="46"/>
        <v>5.56508470223792</v>
      </c>
      <c r="U131" s="8">
        <f t="shared" si="47"/>
        <v>6.2143445841656773</v>
      </c>
      <c r="V131" s="8">
        <f t="shared" si="43"/>
        <v>11.395656043949804</v>
      </c>
      <c r="W131" s="4">
        <f t="shared" si="44"/>
        <v>14.237500000000001</v>
      </c>
      <c r="X131" s="12">
        <f t="shared" ref="X131:X163" si="50">IFERROR(IF(D131="TRANSFERENCIA",0,H131*(SUMIF(D:D,"TRANSFERENCIA",M:M)+SUMIF(D:D,"TRANSFERENCIA",O:O))/(SUMIF(D:D,"BONIFICAÇÃO",H:H)+SUMIF(D:D,"VENDA",H:H))),0)</f>
        <v>10.482205269983535</v>
      </c>
      <c r="Y131" s="8">
        <f t="shared" ref="Y131:Y163" si="51">S131+V131+W131+X131</f>
        <v>502.19120512635914</v>
      </c>
      <c r="Z131" s="9">
        <f t="shared" si="48"/>
        <v>0.16554844408319075</v>
      </c>
      <c r="AA131" s="8">
        <f t="shared" si="49"/>
        <v>2531.3087948736411</v>
      </c>
    </row>
    <row r="132" spans="1:27" x14ac:dyDescent="0.25">
      <c r="A132">
        <v>4</v>
      </c>
      <c r="B132" t="s">
        <v>205</v>
      </c>
      <c r="C132" t="s">
        <v>39</v>
      </c>
      <c r="D132" t="s">
        <v>209</v>
      </c>
      <c r="E132">
        <v>2429</v>
      </c>
      <c r="F132" t="s">
        <v>163</v>
      </c>
      <c r="G132">
        <v>25812</v>
      </c>
      <c r="H132" s="3">
        <v>207.65</v>
      </c>
      <c r="I132" s="3">
        <v>191.2</v>
      </c>
      <c r="J132" s="3">
        <v>7281.8</v>
      </c>
      <c r="K132" s="2">
        <v>46142</v>
      </c>
      <c r="L132" s="5">
        <v>35</v>
      </c>
      <c r="M132" s="7">
        <v>328.26265036000245</v>
      </c>
      <c r="N132" s="5">
        <v>10936</v>
      </c>
      <c r="O132" s="7">
        <v>368.82</v>
      </c>
      <c r="P132" s="7"/>
      <c r="Q132" t="s">
        <v>87</v>
      </c>
      <c r="R132" t="s">
        <v>41</v>
      </c>
      <c r="S132" s="8">
        <f t="shared" si="45"/>
        <v>697.08265036000239</v>
      </c>
      <c r="T132" s="8">
        <f t="shared" si="46"/>
        <v>3.3570077070069941</v>
      </c>
      <c r="U132" s="8">
        <f t="shared" si="47"/>
        <v>3.645829761297084</v>
      </c>
      <c r="V132" s="8">
        <f t="shared" si="43"/>
        <v>28.254423612252861</v>
      </c>
      <c r="W132" s="4">
        <f t="shared" si="44"/>
        <v>35.300500000000007</v>
      </c>
      <c r="X132" s="12">
        <f t="shared" si="50"/>
        <v>25.989611036562163</v>
      </c>
      <c r="Y132" s="8">
        <f t="shared" si="51"/>
        <v>786.62718500881738</v>
      </c>
      <c r="Z132" s="9">
        <f t="shared" si="48"/>
        <v>0.10802647491126059</v>
      </c>
      <c r="AA132" s="8">
        <f t="shared" si="49"/>
        <v>6495.1728149911833</v>
      </c>
    </row>
    <row r="133" spans="1:27" x14ac:dyDescent="0.25">
      <c r="A133">
        <v>4</v>
      </c>
      <c r="B133" t="s">
        <v>205</v>
      </c>
      <c r="C133" t="s">
        <v>39</v>
      </c>
      <c r="D133" t="s">
        <v>209</v>
      </c>
      <c r="E133">
        <v>2430</v>
      </c>
      <c r="F133" t="s">
        <v>164</v>
      </c>
      <c r="G133">
        <v>25813</v>
      </c>
      <c r="H133" s="3">
        <v>98.35</v>
      </c>
      <c r="I133" s="3">
        <v>89.6</v>
      </c>
      <c r="J133" s="3">
        <v>3528.56</v>
      </c>
      <c r="K133" s="2">
        <v>46142</v>
      </c>
      <c r="L133" s="5">
        <v>35</v>
      </c>
      <c r="M133" s="7">
        <v>155.47619389793519</v>
      </c>
      <c r="N133" s="5">
        <v>190125</v>
      </c>
      <c r="O133" s="7">
        <v>218.88</v>
      </c>
      <c r="P133" s="7"/>
      <c r="Q133" t="s">
        <v>40</v>
      </c>
      <c r="R133" t="s">
        <v>41</v>
      </c>
      <c r="S133" s="8">
        <f t="shared" si="45"/>
        <v>374.35619389793521</v>
      </c>
      <c r="T133" s="8">
        <f t="shared" si="46"/>
        <v>3.8063669943867335</v>
      </c>
      <c r="U133" s="8">
        <f t="shared" si="47"/>
        <v>4.1780825211823132</v>
      </c>
      <c r="V133" s="8">
        <f t="shared" si="43"/>
        <v>13.382242052805532</v>
      </c>
      <c r="W133" s="4">
        <f t="shared" si="44"/>
        <v>16.7195</v>
      </c>
      <c r="X133" s="12">
        <f t="shared" si="50"/>
        <v>12.309550905109022</v>
      </c>
      <c r="Y133" s="8">
        <f t="shared" si="51"/>
        <v>416.76748685584971</v>
      </c>
      <c r="Z133" s="9">
        <f t="shared" si="48"/>
        <v>0.11811262578951462</v>
      </c>
      <c r="AA133" s="8">
        <f t="shared" si="49"/>
        <v>3111.7925131441502</v>
      </c>
    </row>
    <row r="134" spans="1:27" x14ac:dyDescent="0.25">
      <c r="A134">
        <v>4</v>
      </c>
      <c r="B134" t="s">
        <v>205</v>
      </c>
      <c r="C134" t="s">
        <v>39</v>
      </c>
      <c r="D134" t="s">
        <v>209</v>
      </c>
      <c r="E134">
        <v>2431</v>
      </c>
      <c r="F134" t="s">
        <v>162</v>
      </c>
      <c r="G134">
        <v>25814</v>
      </c>
      <c r="H134" s="3">
        <v>122.75</v>
      </c>
      <c r="I134" s="3">
        <v>114</v>
      </c>
      <c r="J134" s="3">
        <v>4126.8</v>
      </c>
      <c r="K134" s="2">
        <v>46142</v>
      </c>
      <c r="L134" s="5">
        <v>35</v>
      </c>
      <c r="M134" s="7">
        <v>194.04883376686877</v>
      </c>
      <c r="N134" s="5">
        <v>190129</v>
      </c>
      <c r="O134" s="7">
        <v>344.88</v>
      </c>
      <c r="P134" s="7"/>
      <c r="Q134" t="s">
        <v>105</v>
      </c>
      <c r="R134" t="s">
        <v>41</v>
      </c>
      <c r="S134" s="8">
        <f t="shared" si="45"/>
        <v>538.92883376686882</v>
      </c>
      <c r="T134" s="8">
        <f t="shared" si="46"/>
        <v>4.390458930890988</v>
      </c>
      <c r="U134" s="8">
        <f t="shared" si="47"/>
        <v>4.7274459102356916</v>
      </c>
      <c r="V134" s="8">
        <f t="shared" si="43"/>
        <v>16.702289903221953</v>
      </c>
      <c r="W134" s="4">
        <f t="shared" si="44"/>
        <v>20.867500000000003</v>
      </c>
      <c r="X134" s="12">
        <f t="shared" si="50"/>
        <v>15.363471007647508</v>
      </c>
      <c r="Y134" s="8">
        <f t="shared" si="51"/>
        <v>591.86209467773824</v>
      </c>
      <c r="Z134" s="9">
        <f t="shared" si="48"/>
        <v>0.14341913702571926</v>
      </c>
      <c r="AA134" s="8">
        <f t="shared" si="49"/>
        <v>3534.9379053222619</v>
      </c>
    </row>
    <row r="135" spans="1:27" x14ac:dyDescent="0.25">
      <c r="A135">
        <v>4</v>
      </c>
      <c r="B135" t="s">
        <v>205</v>
      </c>
      <c r="C135" t="s">
        <v>39</v>
      </c>
      <c r="D135" t="s">
        <v>209</v>
      </c>
      <c r="E135">
        <v>2432</v>
      </c>
      <c r="F135" t="s">
        <v>163</v>
      </c>
      <c r="G135">
        <v>25815</v>
      </c>
      <c r="H135" s="3">
        <v>116.95</v>
      </c>
      <c r="I135" s="3">
        <v>108.2</v>
      </c>
      <c r="J135" s="3">
        <v>4564.62</v>
      </c>
      <c r="K135" s="2">
        <v>46142</v>
      </c>
      <c r="L135" s="5">
        <v>35</v>
      </c>
      <c r="M135" s="7">
        <v>184.87992756851571</v>
      </c>
      <c r="N135" s="5">
        <v>10935</v>
      </c>
      <c r="O135" s="7">
        <v>213.24</v>
      </c>
      <c r="P135" s="7"/>
      <c r="Q135" t="s">
        <v>106</v>
      </c>
      <c r="R135" t="s">
        <v>41</v>
      </c>
      <c r="S135" s="8">
        <f t="shared" si="45"/>
        <v>398.11992756851572</v>
      </c>
      <c r="T135" s="8">
        <f t="shared" si="46"/>
        <v>3.4041892053742258</v>
      </c>
      <c r="U135" s="8">
        <f t="shared" si="47"/>
        <v>3.6794817705038421</v>
      </c>
      <c r="V135" s="8">
        <f t="shared" si="43"/>
        <v>15.913098201073788</v>
      </c>
      <c r="W135" s="4">
        <f t="shared" si="44"/>
        <v>19.881500000000003</v>
      </c>
      <c r="X135" s="12">
        <f t="shared" si="50"/>
        <v>14.637539179994917</v>
      </c>
      <c r="Y135" s="8">
        <f t="shared" si="51"/>
        <v>448.55206494958446</v>
      </c>
      <c r="Z135" s="9">
        <f t="shared" si="48"/>
        <v>9.8267120800764246E-2</v>
      </c>
      <c r="AA135" s="8">
        <f t="shared" si="49"/>
        <v>4116.0679350504151</v>
      </c>
    </row>
    <row r="136" spans="1:27" x14ac:dyDescent="0.25">
      <c r="A136">
        <v>2</v>
      </c>
      <c r="B136" t="s">
        <v>205</v>
      </c>
      <c r="C136" t="s">
        <v>89</v>
      </c>
      <c r="D136" t="s">
        <v>209</v>
      </c>
      <c r="E136">
        <v>3210</v>
      </c>
      <c r="F136" t="s">
        <v>163</v>
      </c>
      <c r="G136">
        <v>25816</v>
      </c>
      <c r="H136" s="3">
        <v>416.5</v>
      </c>
      <c r="I136" s="3">
        <v>392</v>
      </c>
      <c r="J136" s="3">
        <v>15979.6</v>
      </c>
      <c r="K136" s="2">
        <v>46142</v>
      </c>
      <c r="L136" s="5">
        <v>35</v>
      </c>
      <c r="M136" s="7">
        <v>658.42231579552617</v>
      </c>
      <c r="N136" s="5">
        <v>10932</v>
      </c>
      <c r="O136" s="7">
        <v>745.95412145748901</v>
      </c>
      <c r="P136" s="7"/>
      <c r="Q136" t="s">
        <v>146</v>
      </c>
      <c r="R136" t="s">
        <v>41</v>
      </c>
      <c r="S136" s="8">
        <f t="shared" si="45"/>
        <v>1404.3764372530152</v>
      </c>
      <c r="T136" s="8">
        <f t="shared" si="46"/>
        <v>3.3718521902833496</v>
      </c>
      <c r="U136" s="8">
        <f t="shared" si="47"/>
        <v>3.5825929521760593</v>
      </c>
      <c r="V136" s="8">
        <f t="shared" si="43"/>
        <v>56.67212826632948</v>
      </c>
      <c r="W136" s="4">
        <f t="shared" si="44"/>
        <v>70.805000000000007</v>
      </c>
      <c r="X136" s="12">
        <f t="shared" si="50"/>
        <v>52.129414865052439</v>
      </c>
      <c r="Y136" s="8">
        <f t="shared" si="51"/>
        <v>1583.9829803843973</v>
      </c>
      <c r="Z136" s="9">
        <f t="shared" si="48"/>
        <v>9.9125321058374252E-2</v>
      </c>
      <c r="AA136" s="8">
        <f t="shared" si="49"/>
        <v>14395.617019615604</v>
      </c>
    </row>
    <row r="137" spans="1:27" x14ac:dyDescent="0.25">
      <c r="A137">
        <v>2</v>
      </c>
      <c r="B137" t="s">
        <v>205</v>
      </c>
      <c r="C137" t="s">
        <v>85</v>
      </c>
      <c r="D137" t="s">
        <v>209</v>
      </c>
      <c r="E137">
        <v>3211</v>
      </c>
      <c r="F137" t="s">
        <v>164</v>
      </c>
      <c r="G137">
        <v>25817</v>
      </c>
      <c r="H137" s="3">
        <v>952</v>
      </c>
      <c r="I137" s="3">
        <v>896</v>
      </c>
      <c r="J137" s="3">
        <v>28417.4</v>
      </c>
      <c r="K137" s="2">
        <v>46142</v>
      </c>
      <c r="L137" s="5">
        <v>35</v>
      </c>
      <c r="M137" s="7">
        <v>1504.9652932469171</v>
      </c>
      <c r="N137" s="5"/>
      <c r="O137" s="7"/>
      <c r="P137" s="7"/>
      <c r="Q137" t="s">
        <v>86</v>
      </c>
      <c r="R137" t="s">
        <v>41</v>
      </c>
      <c r="S137" s="8">
        <f t="shared" si="45"/>
        <v>1504.9652932469171</v>
      </c>
      <c r="T137" s="8">
        <f t="shared" si="46"/>
        <v>1.5808458962677701</v>
      </c>
      <c r="U137" s="8">
        <f t="shared" si="47"/>
        <v>1.6796487647845058</v>
      </c>
      <c r="V137" s="8">
        <f t="shared" si="43"/>
        <v>129.53629318018167</v>
      </c>
      <c r="W137" s="4">
        <f t="shared" si="44"/>
        <v>161.84</v>
      </c>
      <c r="X137" s="12">
        <f t="shared" si="50"/>
        <v>119.15294826297701</v>
      </c>
      <c r="Y137" s="8">
        <f t="shared" si="51"/>
        <v>1915.4945346900756</v>
      </c>
      <c r="Z137" s="9">
        <f t="shared" si="48"/>
        <v>6.7405692804059322E-2</v>
      </c>
      <c r="AA137" s="8">
        <f t="shared" si="49"/>
        <v>26501.905465309927</v>
      </c>
    </row>
    <row r="138" spans="1:27" x14ac:dyDescent="0.25">
      <c r="A138">
        <v>2</v>
      </c>
      <c r="B138" t="s">
        <v>205</v>
      </c>
      <c r="C138" t="s">
        <v>75</v>
      </c>
      <c r="D138" t="s">
        <v>209</v>
      </c>
      <c r="E138">
        <v>3212</v>
      </c>
      <c r="F138" t="s">
        <v>163</v>
      </c>
      <c r="G138">
        <v>25818</v>
      </c>
      <c r="H138" s="3">
        <v>127</v>
      </c>
      <c r="I138" s="3">
        <v>120</v>
      </c>
      <c r="J138" s="3">
        <v>3669.2</v>
      </c>
      <c r="K138" s="2">
        <v>46142</v>
      </c>
      <c r="L138" s="5">
        <v>35</v>
      </c>
      <c r="M138" s="7">
        <v>200.76742882600681</v>
      </c>
      <c r="N138" s="5">
        <v>10930</v>
      </c>
      <c r="O138" s="7">
        <v>220.4</v>
      </c>
      <c r="P138" s="7"/>
      <c r="Q138" t="s">
        <v>80</v>
      </c>
      <c r="R138" t="s">
        <v>41</v>
      </c>
      <c r="S138" s="8">
        <f t="shared" si="45"/>
        <v>421.16742882600681</v>
      </c>
      <c r="T138" s="8">
        <f t="shared" si="46"/>
        <v>3.3162789671339121</v>
      </c>
      <c r="U138" s="8">
        <f t="shared" si="47"/>
        <v>3.5097285735500567</v>
      </c>
      <c r="V138" s="8">
        <f t="shared" si="43"/>
        <v>17.280576926347763</v>
      </c>
      <c r="W138" s="4">
        <f t="shared" si="44"/>
        <v>21.59</v>
      </c>
      <c r="X138" s="12">
        <f t="shared" si="50"/>
        <v>15.895403812392942</v>
      </c>
      <c r="Y138" s="8">
        <f t="shared" si="51"/>
        <v>475.93340956474748</v>
      </c>
      <c r="Z138" s="9">
        <f t="shared" si="48"/>
        <v>0.12971040269397893</v>
      </c>
      <c r="AA138" s="8">
        <f t="shared" si="49"/>
        <v>3193.2665904352525</v>
      </c>
    </row>
    <row r="139" spans="1:27" x14ac:dyDescent="0.25">
      <c r="A139">
        <v>2</v>
      </c>
      <c r="B139" t="s">
        <v>205</v>
      </c>
      <c r="C139" t="s">
        <v>75</v>
      </c>
      <c r="D139" t="s">
        <v>209</v>
      </c>
      <c r="E139">
        <v>3213</v>
      </c>
      <c r="F139" t="s">
        <v>163</v>
      </c>
      <c r="G139">
        <v>25819</v>
      </c>
      <c r="H139" s="3">
        <v>317.5</v>
      </c>
      <c r="I139" s="3">
        <v>300</v>
      </c>
      <c r="J139" s="3">
        <v>9173</v>
      </c>
      <c r="K139" s="2">
        <v>46142</v>
      </c>
      <c r="L139" s="5">
        <v>35</v>
      </c>
      <c r="M139" s="7">
        <v>501.91857206501697</v>
      </c>
      <c r="N139" s="5">
        <v>10929</v>
      </c>
      <c r="O139" s="7">
        <v>545.48</v>
      </c>
      <c r="P139" s="7"/>
      <c r="Q139" t="s">
        <v>81</v>
      </c>
      <c r="R139" t="s">
        <v>41</v>
      </c>
      <c r="S139" s="8">
        <f t="shared" si="45"/>
        <v>1047.3985720650171</v>
      </c>
      <c r="T139" s="8">
        <f t="shared" si="46"/>
        <v>3.2988931403622588</v>
      </c>
      <c r="U139" s="8">
        <f t="shared" si="47"/>
        <v>3.491328573550057</v>
      </c>
      <c r="V139" s="8">
        <f t="shared" si="43"/>
        <v>43.201442315869407</v>
      </c>
      <c r="W139" s="4">
        <f t="shared" si="44"/>
        <v>53.975000000000001</v>
      </c>
      <c r="X139" s="12">
        <f t="shared" si="50"/>
        <v>39.738509530982355</v>
      </c>
      <c r="Y139" s="8">
        <f t="shared" si="51"/>
        <v>1184.3135239118687</v>
      </c>
      <c r="Z139" s="9">
        <f t="shared" si="48"/>
        <v>0.12910863664143341</v>
      </c>
      <c r="AA139" s="8">
        <f t="shared" si="49"/>
        <v>7988.6864760881308</v>
      </c>
    </row>
    <row r="140" spans="1:27" x14ac:dyDescent="0.25">
      <c r="A140">
        <v>2</v>
      </c>
      <c r="B140" t="s">
        <v>205</v>
      </c>
      <c r="C140" t="s">
        <v>89</v>
      </c>
      <c r="D140" t="s">
        <v>209</v>
      </c>
      <c r="E140">
        <v>3214</v>
      </c>
      <c r="F140" t="s">
        <v>163</v>
      </c>
      <c r="G140">
        <v>25820</v>
      </c>
      <c r="H140" s="3">
        <v>89.25</v>
      </c>
      <c r="I140" s="3">
        <v>84</v>
      </c>
      <c r="J140" s="3">
        <v>3536.25</v>
      </c>
      <c r="K140" s="2">
        <v>46142</v>
      </c>
      <c r="L140" s="5">
        <v>35</v>
      </c>
      <c r="M140" s="7">
        <v>141.09049624189848</v>
      </c>
      <c r="N140" s="5"/>
      <c r="O140" s="7">
        <v>218.96</v>
      </c>
      <c r="P140" s="7"/>
      <c r="Q140" t="s">
        <v>107</v>
      </c>
      <c r="R140" t="s">
        <v>41</v>
      </c>
      <c r="S140" s="8">
        <f t="shared" si="45"/>
        <v>360.05049624189849</v>
      </c>
      <c r="T140" s="8">
        <f t="shared" si="46"/>
        <v>4.0341792296011034</v>
      </c>
      <c r="U140" s="8">
        <f t="shared" si="47"/>
        <v>4.2863154314511727</v>
      </c>
      <c r="V140" s="8">
        <f t="shared" si="43"/>
        <v>12.144027485642031</v>
      </c>
      <c r="W140" s="4">
        <f t="shared" si="44"/>
        <v>15.172500000000001</v>
      </c>
      <c r="X140" s="12">
        <f t="shared" si="50"/>
        <v>11.170588899654096</v>
      </c>
      <c r="Y140" s="8">
        <f t="shared" si="51"/>
        <v>398.53761262719462</v>
      </c>
      <c r="Z140" s="9">
        <f t="shared" si="48"/>
        <v>0.11270063276838306</v>
      </c>
      <c r="AA140" s="8">
        <f t="shared" si="49"/>
        <v>3137.7123873728056</v>
      </c>
    </row>
    <row r="141" spans="1:27" x14ac:dyDescent="0.25">
      <c r="A141">
        <v>2</v>
      </c>
      <c r="B141" t="s">
        <v>205</v>
      </c>
      <c r="C141" t="s">
        <v>75</v>
      </c>
      <c r="D141" t="s">
        <v>209</v>
      </c>
      <c r="E141">
        <v>3215</v>
      </c>
      <c r="F141" t="s">
        <v>186</v>
      </c>
      <c r="G141">
        <v>25821</v>
      </c>
      <c r="H141" s="3">
        <v>190.5</v>
      </c>
      <c r="I141" s="3">
        <v>180</v>
      </c>
      <c r="J141" s="3">
        <v>5503.8</v>
      </c>
      <c r="K141" s="2">
        <v>46142</v>
      </c>
      <c r="L141" s="5">
        <v>35</v>
      </c>
      <c r="M141" s="7">
        <v>301.1511432390102</v>
      </c>
      <c r="N141" s="5">
        <v>190119</v>
      </c>
      <c r="O141" s="7">
        <v>400.42</v>
      </c>
      <c r="P141" s="7"/>
      <c r="Q141" t="s">
        <v>82</v>
      </c>
      <c r="R141" t="s">
        <v>41</v>
      </c>
      <c r="S141" s="8">
        <f t="shared" si="45"/>
        <v>701.57114323901021</v>
      </c>
      <c r="T141" s="8">
        <f t="shared" si="46"/>
        <v>3.6827881534856179</v>
      </c>
      <c r="U141" s="8">
        <f t="shared" si="47"/>
        <v>3.8976174624389457</v>
      </c>
      <c r="V141" s="8">
        <f t="shared" si="43"/>
        <v>25.920865389521644</v>
      </c>
      <c r="W141" s="4">
        <f t="shared" si="44"/>
        <v>32.385000000000005</v>
      </c>
      <c r="X141" s="12">
        <f t="shared" si="50"/>
        <v>23.843105718589413</v>
      </c>
      <c r="Y141" s="8">
        <f t="shared" si="51"/>
        <v>783.72011434712124</v>
      </c>
      <c r="Z141" s="9">
        <f t="shared" si="48"/>
        <v>0.14239618342729046</v>
      </c>
      <c r="AA141" s="8">
        <f t="shared" si="49"/>
        <v>4720.0798856528791</v>
      </c>
    </row>
    <row r="142" spans="1:27" x14ac:dyDescent="0.25">
      <c r="A142">
        <v>2</v>
      </c>
      <c r="B142" t="s">
        <v>205</v>
      </c>
      <c r="C142" t="s">
        <v>83</v>
      </c>
      <c r="D142" t="s">
        <v>209</v>
      </c>
      <c r="E142">
        <v>3216</v>
      </c>
      <c r="F142" t="s">
        <v>163</v>
      </c>
      <c r="G142">
        <v>25822</v>
      </c>
      <c r="H142" s="3">
        <v>5140.8</v>
      </c>
      <c r="I142" s="3">
        <v>4838.3999999999996</v>
      </c>
      <c r="J142" s="3">
        <v>170726.39999999999</v>
      </c>
      <c r="K142" s="2">
        <v>46142</v>
      </c>
      <c r="L142" s="5">
        <v>38280</v>
      </c>
      <c r="M142" s="7">
        <v>3840</v>
      </c>
      <c r="N142" s="5"/>
      <c r="O142" s="7"/>
      <c r="P142" s="7"/>
      <c r="Q142" t="s">
        <v>84</v>
      </c>
      <c r="R142" t="s">
        <v>41</v>
      </c>
      <c r="S142" s="8">
        <f t="shared" si="45"/>
        <v>3840</v>
      </c>
      <c r="T142" s="8">
        <f t="shared" si="46"/>
        <v>0.7469654528478058</v>
      </c>
      <c r="U142" s="8">
        <f t="shared" si="47"/>
        <v>0.79365079365079372</v>
      </c>
      <c r="V142" s="8">
        <f t="shared" si="43"/>
        <v>699.49598317298103</v>
      </c>
      <c r="W142" s="4">
        <f t="shared" si="44"/>
        <v>873.93600000000015</v>
      </c>
      <c r="X142" s="12">
        <f t="shared" si="50"/>
        <v>643.42592062007589</v>
      </c>
      <c r="Y142" s="8">
        <f t="shared" si="51"/>
        <v>6056.8579037930567</v>
      </c>
      <c r="Z142" s="9">
        <f t="shared" si="48"/>
        <v>3.5476984835345074E-2</v>
      </c>
      <c r="AA142" s="8">
        <f t="shared" si="49"/>
        <v>164669.54209620695</v>
      </c>
    </row>
    <row r="143" spans="1:27" x14ac:dyDescent="0.25">
      <c r="A143">
        <v>2</v>
      </c>
      <c r="B143" t="s">
        <v>205</v>
      </c>
      <c r="C143" t="s">
        <v>83</v>
      </c>
      <c r="D143" t="s">
        <v>209</v>
      </c>
      <c r="E143">
        <v>3217</v>
      </c>
      <c r="F143" t="s">
        <v>163</v>
      </c>
      <c r="G143">
        <v>25824</v>
      </c>
      <c r="H143" s="3">
        <v>5569.2</v>
      </c>
      <c r="I143" s="3">
        <v>5241.6000000000004</v>
      </c>
      <c r="J143" s="3">
        <v>199094.39999999999</v>
      </c>
      <c r="K143" s="2">
        <v>46142</v>
      </c>
      <c r="L143" s="5">
        <v>38280</v>
      </c>
      <c r="M143" s="7">
        <v>4160.0000000000009</v>
      </c>
      <c r="N143" s="5"/>
      <c r="O143" s="7"/>
      <c r="P143" s="7"/>
      <c r="Q143" t="s">
        <v>84</v>
      </c>
      <c r="R143" t="s">
        <v>41</v>
      </c>
      <c r="S143" s="8">
        <f t="shared" si="45"/>
        <v>4160.0000000000009</v>
      </c>
      <c r="T143" s="8">
        <f t="shared" si="46"/>
        <v>0.74696545284780602</v>
      </c>
      <c r="U143" s="8">
        <f t="shared" si="47"/>
        <v>0.79365079365079372</v>
      </c>
      <c r="V143" s="8">
        <f t="shared" si="43"/>
        <v>757.78731510406271</v>
      </c>
      <c r="W143" s="4">
        <f t="shared" si="44"/>
        <v>946.76400000000001</v>
      </c>
      <c r="X143" s="12">
        <f t="shared" si="50"/>
        <v>697.0447473384155</v>
      </c>
      <c r="Y143" s="8">
        <f t="shared" si="51"/>
        <v>6561.5960624424797</v>
      </c>
      <c r="Z143" s="9">
        <f t="shared" si="48"/>
        <v>3.2957210561635482E-2</v>
      </c>
      <c r="AA143" s="8">
        <f t="shared" si="49"/>
        <v>192532.8039375575</v>
      </c>
    </row>
    <row r="144" spans="1:27" x14ac:dyDescent="0.25">
      <c r="A144">
        <v>2</v>
      </c>
      <c r="B144" t="s">
        <v>205</v>
      </c>
      <c r="C144" t="s">
        <v>89</v>
      </c>
      <c r="D144" t="s">
        <v>209</v>
      </c>
      <c r="E144">
        <v>3218</v>
      </c>
      <c r="F144" t="s">
        <v>163</v>
      </c>
      <c r="G144">
        <v>25836</v>
      </c>
      <c r="H144" s="3">
        <v>357</v>
      </c>
      <c r="I144" s="3">
        <v>336</v>
      </c>
      <c r="J144" s="3">
        <v>13696.8</v>
      </c>
      <c r="K144" s="2">
        <v>46142</v>
      </c>
      <c r="L144" s="5">
        <v>35</v>
      </c>
      <c r="M144" s="7">
        <v>564.36198496759391</v>
      </c>
      <c r="N144" s="5">
        <v>10932</v>
      </c>
      <c r="O144" s="7">
        <v>639.38924696356207</v>
      </c>
      <c r="P144" s="7"/>
      <c r="Q144" t="s">
        <v>146</v>
      </c>
      <c r="R144" t="s">
        <v>41</v>
      </c>
      <c r="S144" s="8">
        <f t="shared" si="45"/>
        <v>1203.7512319311559</v>
      </c>
      <c r="T144" s="8">
        <f t="shared" si="46"/>
        <v>3.3718521902833496</v>
      </c>
      <c r="U144" s="8">
        <f t="shared" si="47"/>
        <v>3.5825929521760593</v>
      </c>
      <c r="V144" s="8">
        <f t="shared" si="43"/>
        <v>48.576109942568124</v>
      </c>
      <c r="W144" s="4">
        <f t="shared" si="44"/>
        <v>60.690000000000005</v>
      </c>
      <c r="X144" s="12">
        <f t="shared" si="50"/>
        <v>44.682355598616383</v>
      </c>
      <c r="Y144" s="8">
        <f t="shared" si="51"/>
        <v>1357.6996974723404</v>
      </c>
      <c r="Z144" s="9">
        <f t="shared" si="48"/>
        <v>9.9125321058374252E-2</v>
      </c>
      <c r="AA144" s="8">
        <f t="shared" si="49"/>
        <v>12339.100302527659</v>
      </c>
    </row>
    <row r="145" spans="1:27" x14ac:dyDescent="0.25">
      <c r="A145">
        <v>2</v>
      </c>
      <c r="B145" t="s">
        <v>204</v>
      </c>
      <c r="C145" t="s">
        <v>12</v>
      </c>
      <c r="D145" t="s">
        <v>209</v>
      </c>
      <c r="E145">
        <v>3219</v>
      </c>
      <c r="F145" t="s">
        <v>166</v>
      </c>
      <c r="G145">
        <v>25851</v>
      </c>
      <c r="H145" s="3">
        <v>119</v>
      </c>
      <c r="I145" s="3">
        <v>112</v>
      </c>
      <c r="J145" s="3">
        <v>4680.92</v>
      </c>
      <c r="K145" s="2">
        <v>46142</v>
      </c>
      <c r="L145" s="5">
        <v>34</v>
      </c>
      <c r="M145" s="7">
        <v>149.86084350246196</v>
      </c>
      <c r="N145" s="5">
        <v>80071</v>
      </c>
      <c r="O145" s="7">
        <v>503.18</v>
      </c>
      <c r="P145" s="7"/>
      <c r="Q145" t="s">
        <v>119</v>
      </c>
      <c r="R145" t="s">
        <v>65</v>
      </c>
      <c r="S145" s="8">
        <f t="shared" si="45"/>
        <v>653.04084350246194</v>
      </c>
      <c r="T145" s="8">
        <f t="shared" si="46"/>
        <v>5.4877381806929577</v>
      </c>
      <c r="U145" s="8">
        <f t="shared" si="47"/>
        <v>5.8307218169862676</v>
      </c>
      <c r="V145" s="8">
        <f t="shared" si="43"/>
        <v>16.192036647522709</v>
      </c>
      <c r="W145" s="4">
        <f t="shared" si="44"/>
        <v>20.23</v>
      </c>
      <c r="X145" s="12">
        <f t="shared" si="50"/>
        <v>14.894118532872126</v>
      </c>
      <c r="Y145" s="8">
        <f t="shared" si="51"/>
        <v>704.35699868285678</v>
      </c>
      <c r="Z145" s="9">
        <f t="shared" si="48"/>
        <v>0.15047405182802884</v>
      </c>
      <c r="AA145" s="8">
        <f t="shared" si="49"/>
        <v>3976.5630013171431</v>
      </c>
    </row>
    <row r="146" spans="1:27" x14ac:dyDescent="0.25">
      <c r="A146">
        <v>2</v>
      </c>
      <c r="B146" t="s">
        <v>204</v>
      </c>
      <c r="C146" t="s">
        <v>12</v>
      </c>
      <c r="D146" t="s">
        <v>209</v>
      </c>
      <c r="E146">
        <v>3220</v>
      </c>
      <c r="F146" t="s">
        <v>167</v>
      </c>
      <c r="G146">
        <v>25852</v>
      </c>
      <c r="H146" s="3">
        <v>89.25</v>
      </c>
      <c r="I146" s="3">
        <v>84</v>
      </c>
      <c r="J146" s="3">
        <v>3513.67</v>
      </c>
      <c r="K146" s="2">
        <v>46142</v>
      </c>
      <c r="L146" s="5">
        <v>34</v>
      </c>
      <c r="M146" s="7">
        <v>112.39563262684648</v>
      </c>
      <c r="N146" s="5">
        <v>80083</v>
      </c>
      <c r="O146" s="7">
        <v>422.62</v>
      </c>
      <c r="P146" s="7"/>
      <c r="Q146" t="s">
        <v>120</v>
      </c>
      <c r="R146" t="s">
        <v>65</v>
      </c>
      <c r="S146" s="8">
        <f t="shared" si="45"/>
        <v>535.01563262684647</v>
      </c>
      <c r="T146" s="8">
        <f t="shared" si="46"/>
        <v>5.9945729145865148</v>
      </c>
      <c r="U146" s="8">
        <f t="shared" si="47"/>
        <v>6.3692337217481718</v>
      </c>
      <c r="V146" s="8">
        <f t="shared" si="43"/>
        <v>12.144027485642031</v>
      </c>
      <c r="W146" s="4">
        <f t="shared" si="44"/>
        <v>15.172500000000001</v>
      </c>
      <c r="X146" s="12">
        <f t="shared" si="50"/>
        <v>11.170588899654096</v>
      </c>
      <c r="Y146" s="8">
        <f t="shared" si="51"/>
        <v>573.50274901214266</v>
      </c>
      <c r="Z146" s="9">
        <f t="shared" si="48"/>
        <v>0.16322043590096469</v>
      </c>
      <c r="AA146" s="8">
        <f t="shared" si="49"/>
        <v>2940.1672509878572</v>
      </c>
    </row>
    <row r="147" spans="1:27" x14ac:dyDescent="0.25">
      <c r="A147">
        <v>2</v>
      </c>
      <c r="B147" t="s">
        <v>204</v>
      </c>
      <c r="C147" t="s">
        <v>12</v>
      </c>
      <c r="D147" t="s">
        <v>209</v>
      </c>
      <c r="E147">
        <v>3221</v>
      </c>
      <c r="F147" t="s">
        <v>168</v>
      </c>
      <c r="G147">
        <v>25853</v>
      </c>
      <c r="H147" s="3">
        <v>89.25</v>
      </c>
      <c r="I147" s="3">
        <v>84</v>
      </c>
      <c r="J147" s="3">
        <v>3501.75</v>
      </c>
      <c r="K147" s="2">
        <v>46142</v>
      </c>
      <c r="L147" s="5">
        <v>34</v>
      </c>
      <c r="M147" s="7">
        <v>112.39563262684648</v>
      </c>
      <c r="N147" s="5">
        <v>80075</v>
      </c>
      <c r="O147" s="7">
        <v>422.55</v>
      </c>
      <c r="P147" s="7"/>
      <c r="Q147" t="s">
        <v>155</v>
      </c>
      <c r="R147" t="s">
        <v>65</v>
      </c>
      <c r="S147" s="8">
        <f t="shared" si="45"/>
        <v>534.94563262684653</v>
      </c>
      <c r="T147" s="8">
        <f t="shared" si="46"/>
        <v>5.9937886008610253</v>
      </c>
      <c r="U147" s="8">
        <f t="shared" si="47"/>
        <v>6.3684003884148392</v>
      </c>
      <c r="V147" s="8">
        <f t="shared" si="43"/>
        <v>12.144027485642031</v>
      </c>
      <c r="W147" s="4">
        <f t="shared" si="44"/>
        <v>15.172500000000001</v>
      </c>
      <c r="X147" s="12">
        <f t="shared" si="50"/>
        <v>11.170588899654096</v>
      </c>
      <c r="Y147" s="8">
        <f t="shared" si="51"/>
        <v>573.43274901214272</v>
      </c>
      <c r="Z147" s="9">
        <f t="shared" si="48"/>
        <v>0.1637560502640516</v>
      </c>
      <c r="AA147" s="8">
        <f t="shared" si="49"/>
        <v>2928.3172509878573</v>
      </c>
    </row>
    <row r="148" spans="1:27" x14ac:dyDescent="0.25">
      <c r="A148">
        <v>2</v>
      </c>
      <c r="B148" t="s">
        <v>204</v>
      </c>
      <c r="C148" t="s">
        <v>12</v>
      </c>
      <c r="D148" t="s">
        <v>209</v>
      </c>
      <c r="E148">
        <v>3222</v>
      </c>
      <c r="F148" t="s">
        <v>172</v>
      </c>
      <c r="G148">
        <v>25854</v>
      </c>
      <c r="H148" s="3">
        <v>59.5</v>
      </c>
      <c r="I148" s="3">
        <v>56</v>
      </c>
      <c r="J148" s="3">
        <v>2343.44</v>
      </c>
      <c r="K148" s="2">
        <v>46142</v>
      </c>
      <c r="L148" s="5">
        <v>34</v>
      </c>
      <c r="M148" s="7">
        <v>74.93042175123098</v>
      </c>
      <c r="N148" s="5">
        <v>80081</v>
      </c>
      <c r="O148" s="7">
        <v>415.6</v>
      </c>
      <c r="P148" s="7"/>
      <c r="Q148" t="s">
        <v>121</v>
      </c>
      <c r="R148" t="s">
        <v>65</v>
      </c>
      <c r="S148" s="8">
        <f t="shared" si="45"/>
        <v>490.53042175123102</v>
      </c>
      <c r="T148" s="8">
        <f t="shared" si="46"/>
        <v>8.2442087689282531</v>
      </c>
      <c r="U148" s="8">
        <f t="shared" si="47"/>
        <v>8.7594718169862684</v>
      </c>
      <c r="V148" s="8">
        <f t="shared" si="43"/>
        <v>8.0960183237613546</v>
      </c>
      <c r="W148" s="4">
        <f t="shared" si="44"/>
        <v>10.115</v>
      </c>
      <c r="X148" s="12">
        <f t="shared" si="50"/>
        <v>7.4470592664360629</v>
      </c>
      <c r="Y148" s="8">
        <f t="shared" si="51"/>
        <v>516.1884993414285</v>
      </c>
      <c r="Z148" s="9">
        <f t="shared" si="48"/>
        <v>0.2202695607062389</v>
      </c>
      <c r="AA148" s="8">
        <f t="shared" si="49"/>
        <v>1827.2515006585716</v>
      </c>
    </row>
    <row r="149" spans="1:27" x14ac:dyDescent="0.25">
      <c r="A149">
        <v>2</v>
      </c>
      <c r="B149" t="s">
        <v>204</v>
      </c>
      <c r="C149" t="s">
        <v>12</v>
      </c>
      <c r="D149" t="s">
        <v>209</v>
      </c>
      <c r="E149">
        <v>3223</v>
      </c>
      <c r="F149" t="s">
        <v>168</v>
      </c>
      <c r="G149">
        <v>25855</v>
      </c>
      <c r="H149" s="3">
        <v>89.25</v>
      </c>
      <c r="I149" s="3">
        <v>84</v>
      </c>
      <c r="J149" s="3">
        <v>3501.75</v>
      </c>
      <c r="K149" s="2">
        <v>46142</v>
      </c>
      <c r="L149" s="5">
        <v>34</v>
      </c>
      <c r="M149" s="7">
        <v>112.39563262684648</v>
      </c>
      <c r="N149" s="5">
        <v>80073</v>
      </c>
      <c r="O149" s="7">
        <v>422.55</v>
      </c>
      <c r="P149" s="7"/>
      <c r="Q149" t="s">
        <v>156</v>
      </c>
      <c r="R149" t="s">
        <v>65</v>
      </c>
      <c r="S149" s="8">
        <f t="shared" si="45"/>
        <v>534.94563262684653</v>
      </c>
      <c r="T149" s="8">
        <f t="shared" si="46"/>
        <v>5.9937886008610253</v>
      </c>
      <c r="U149" s="8">
        <f t="shared" si="47"/>
        <v>6.3684003884148392</v>
      </c>
      <c r="V149" s="8">
        <f t="shared" si="43"/>
        <v>12.144027485642031</v>
      </c>
      <c r="W149" s="4">
        <f t="shared" si="44"/>
        <v>15.172500000000001</v>
      </c>
      <c r="X149" s="12">
        <f t="shared" si="50"/>
        <v>11.170588899654096</v>
      </c>
      <c r="Y149" s="8">
        <f t="shared" si="51"/>
        <v>573.43274901214272</v>
      </c>
      <c r="Z149" s="9">
        <f t="shared" si="48"/>
        <v>0.1637560502640516</v>
      </c>
      <c r="AA149" s="8">
        <f t="shared" si="49"/>
        <v>2928.3172509878573</v>
      </c>
    </row>
    <row r="150" spans="1:27" x14ac:dyDescent="0.25">
      <c r="A150">
        <v>2</v>
      </c>
      <c r="B150" t="s">
        <v>204</v>
      </c>
      <c r="C150" t="s">
        <v>12</v>
      </c>
      <c r="D150" t="s">
        <v>209</v>
      </c>
      <c r="E150">
        <v>3224</v>
      </c>
      <c r="F150" t="s">
        <v>169</v>
      </c>
      <c r="G150">
        <v>25856</v>
      </c>
      <c r="H150" s="3">
        <v>59.5</v>
      </c>
      <c r="I150" s="3">
        <v>56</v>
      </c>
      <c r="J150" s="3">
        <v>2340.46</v>
      </c>
      <c r="K150" s="2">
        <v>46142</v>
      </c>
      <c r="L150" s="5">
        <v>34</v>
      </c>
      <c r="M150" s="7">
        <v>74.93042175123098</v>
      </c>
      <c r="N150" s="5">
        <v>80074</v>
      </c>
      <c r="O150" s="7">
        <v>415.58</v>
      </c>
      <c r="P150" s="7"/>
      <c r="Q150" t="s">
        <v>141</v>
      </c>
      <c r="R150" t="s">
        <v>65</v>
      </c>
      <c r="S150" s="8">
        <f t="shared" si="45"/>
        <v>490.51042175123098</v>
      </c>
      <c r="T150" s="8">
        <f t="shared" si="46"/>
        <v>8.2438726344744708</v>
      </c>
      <c r="U150" s="8">
        <f t="shared" si="47"/>
        <v>8.7591146741291244</v>
      </c>
      <c r="V150" s="8">
        <f t="shared" si="43"/>
        <v>8.0960183237613546</v>
      </c>
      <c r="W150" s="4">
        <f t="shared" si="44"/>
        <v>10.115</v>
      </c>
      <c r="X150" s="12">
        <f t="shared" si="50"/>
        <v>7.4470592664360629</v>
      </c>
      <c r="Y150" s="8">
        <f t="shared" si="51"/>
        <v>516.1684993414284</v>
      </c>
      <c r="Z150" s="9">
        <f t="shared" si="48"/>
        <v>0.22054147447144082</v>
      </c>
      <c r="AA150" s="8">
        <f t="shared" si="49"/>
        <v>1824.2915006585717</v>
      </c>
    </row>
    <row r="151" spans="1:27" x14ac:dyDescent="0.25">
      <c r="A151">
        <v>2</v>
      </c>
      <c r="B151" t="s">
        <v>204</v>
      </c>
      <c r="C151" t="s">
        <v>12</v>
      </c>
      <c r="D151" t="s">
        <v>209</v>
      </c>
      <c r="E151">
        <v>3225</v>
      </c>
      <c r="F151" t="s">
        <v>171</v>
      </c>
      <c r="G151">
        <v>25857</v>
      </c>
      <c r="H151" s="3">
        <v>59.5</v>
      </c>
      <c r="I151" s="3">
        <v>56</v>
      </c>
      <c r="J151" s="3">
        <v>2349.4</v>
      </c>
      <c r="K151" s="2">
        <v>46142</v>
      </c>
      <c r="L151" s="5">
        <v>34</v>
      </c>
      <c r="M151" s="7">
        <v>74.93042175123098</v>
      </c>
      <c r="N151" s="5"/>
      <c r="O151" s="7">
        <v>415.64</v>
      </c>
      <c r="P151" s="7"/>
      <c r="Q151" t="s">
        <v>67</v>
      </c>
      <c r="R151" t="s">
        <v>65</v>
      </c>
      <c r="S151" s="8">
        <f t="shared" si="45"/>
        <v>490.57042175123098</v>
      </c>
      <c r="T151" s="8">
        <f t="shared" si="46"/>
        <v>8.2448810378358139</v>
      </c>
      <c r="U151" s="8">
        <f t="shared" si="47"/>
        <v>8.760186102700553</v>
      </c>
      <c r="V151" s="8">
        <f t="shared" si="43"/>
        <v>8.0960183237613546</v>
      </c>
      <c r="W151" s="4">
        <f t="shared" si="44"/>
        <v>10.115</v>
      </c>
      <c r="X151" s="12">
        <f t="shared" si="50"/>
        <v>7.4470592664360629</v>
      </c>
      <c r="Y151" s="8">
        <f t="shared" si="51"/>
        <v>516.22849934142846</v>
      </c>
      <c r="Z151" s="9">
        <f t="shared" si="48"/>
        <v>0.21972780256296434</v>
      </c>
      <c r="AA151" s="8">
        <f t="shared" si="49"/>
        <v>1833.1715006585716</v>
      </c>
    </row>
    <row r="152" spans="1:27" x14ac:dyDescent="0.25">
      <c r="A152">
        <v>2</v>
      </c>
      <c r="B152" t="s">
        <v>204</v>
      </c>
      <c r="C152" t="s">
        <v>12</v>
      </c>
      <c r="D152" t="s">
        <v>209</v>
      </c>
      <c r="E152">
        <v>3226</v>
      </c>
      <c r="F152" t="s">
        <v>168</v>
      </c>
      <c r="G152">
        <v>25858</v>
      </c>
      <c r="H152" s="3">
        <v>89.25</v>
      </c>
      <c r="I152" s="3">
        <v>84</v>
      </c>
      <c r="J152" s="3">
        <v>3501.75</v>
      </c>
      <c r="K152" s="2">
        <v>46142</v>
      </c>
      <c r="L152" s="5">
        <v>34</v>
      </c>
      <c r="M152" s="7">
        <v>112.39563262684648</v>
      </c>
      <c r="N152" s="5">
        <v>80079</v>
      </c>
      <c r="O152" s="7">
        <v>422.55</v>
      </c>
      <c r="P152" s="7"/>
      <c r="Q152" t="s">
        <v>142</v>
      </c>
      <c r="R152" t="s">
        <v>65</v>
      </c>
      <c r="S152" s="8">
        <f t="shared" si="45"/>
        <v>534.94563262684653</v>
      </c>
      <c r="T152" s="8">
        <f t="shared" si="46"/>
        <v>5.9937886008610253</v>
      </c>
      <c r="U152" s="8">
        <f t="shared" si="47"/>
        <v>6.3684003884148392</v>
      </c>
      <c r="V152" s="8">
        <f t="shared" si="43"/>
        <v>12.144027485642031</v>
      </c>
      <c r="W152" s="4">
        <f t="shared" si="44"/>
        <v>15.172500000000001</v>
      </c>
      <c r="X152" s="12">
        <f t="shared" si="50"/>
        <v>11.170588899654096</v>
      </c>
      <c r="Y152" s="8">
        <f t="shared" si="51"/>
        <v>573.43274901214272</v>
      </c>
      <c r="Z152" s="9">
        <f t="shared" si="48"/>
        <v>0.1637560502640516</v>
      </c>
      <c r="AA152" s="8">
        <f t="shared" si="49"/>
        <v>2928.3172509878573</v>
      </c>
    </row>
    <row r="153" spans="1:27" x14ac:dyDescent="0.25">
      <c r="A153">
        <v>2</v>
      </c>
      <c r="B153" t="s">
        <v>204</v>
      </c>
      <c r="C153" t="s">
        <v>12</v>
      </c>
      <c r="D153" t="s">
        <v>209</v>
      </c>
      <c r="E153">
        <v>3227</v>
      </c>
      <c r="F153" t="s">
        <v>166</v>
      </c>
      <c r="G153">
        <v>25859</v>
      </c>
      <c r="H153" s="3">
        <v>89.25</v>
      </c>
      <c r="I153" s="3">
        <v>84</v>
      </c>
      <c r="J153" s="3">
        <v>3504.75</v>
      </c>
      <c r="K153" s="2">
        <v>46142</v>
      </c>
      <c r="L153" s="5">
        <v>34</v>
      </c>
      <c r="M153" s="7">
        <v>112.39563262684648</v>
      </c>
      <c r="N153" s="5"/>
      <c r="O153" s="7">
        <v>422.57</v>
      </c>
      <c r="P153" s="7"/>
      <c r="Q153" t="s">
        <v>68</v>
      </c>
      <c r="R153" t="s">
        <v>65</v>
      </c>
      <c r="S153" s="8">
        <f t="shared" si="45"/>
        <v>534.96563262684651</v>
      </c>
      <c r="T153" s="8">
        <f t="shared" si="46"/>
        <v>5.9940126904968798</v>
      </c>
      <c r="U153" s="8">
        <f t="shared" si="47"/>
        <v>6.3686384836529344</v>
      </c>
      <c r="V153" s="8">
        <f t="shared" si="43"/>
        <v>12.144027485642031</v>
      </c>
      <c r="W153" s="4">
        <f t="shared" si="44"/>
        <v>15.172500000000001</v>
      </c>
      <c r="X153" s="12">
        <f t="shared" si="50"/>
        <v>11.170588899654096</v>
      </c>
      <c r="Y153" s="8">
        <f t="shared" si="51"/>
        <v>573.4527490121427</v>
      </c>
      <c r="Z153" s="9">
        <f t="shared" si="48"/>
        <v>0.16362158470993443</v>
      </c>
      <c r="AA153" s="8">
        <f t="shared" si="49"/>
        <v>2931.2972509878573</v>
      </c>
    </row>
    <row r="154" spans="1:27" x14ac:dyDescent="0.25">
      <c r="A154">
        <v>2</v>
      </c>
      <c r="B154" t="s">
        <v>204</v>
      </c>
      <c r="C154" t="s">
        <v>12</v>
      </c>
      <c r="D154" t="s">
        <v>209</v>
      </c>
      <c r="E154">
        <v>3228</v>
      </c>
      <c r="F154" t="s">
        <v>170</v>
      </c>
      <c r="G154">
        <v>25860</v>
      </c>
      <c r="H154" s="3">
        <v>89.25</v>
      </c>
      <c r="I154" s="3">
        <v>84</v>
      </c>
      <c r="J154" s="3">
        <v>3522.61</v>
      </c>
      <c r="K154" s="2">
        <v>46142</v>
      </c>
      <c r="L154" s="5">
        <v>34</v>
      </c>
      <c r="M154" s="7">
        <v>112.39563262684648</v>
      </c>
      <c r="N154" s="5">
        <v>80080</v>
      </c>
      <c r="O154" s="7">
        <v>422.68</v>
      </c>
      <c r="P154" s="7"/>
      <c r="Q154" t="s">
        <v>72</v>
      </c>
      <c r="R154" t="s">
        <v>65</v>
      </c>
      <c r="S154" s="8">
        <f t="shared" si="45"/>
        <v>535.07563262684653</v>
      </c>
      <c r="T154" s="8">
        <f t="shared" si="46"/>
        <v>5.9952451834940783</v>
      </c>
      <c r="U154" s="8">
        <f t="shared" si="47"/>
        <v>6.369948007462459</v>
      </c>
      <c r="V154" s="8">
        <f t="shared" si="43"/>
        <v>12.144027485642031</v>
      </c>
      <c r="W154" s="4">
        <f t="shared" si="44"/>
        <v>15.172500000000001</v>
      </c>
      <c r="X154" s="12">
        <f t="shared" si="50"/>
        <v>11.170588899654096</v>
      </c>
      <c r="Y154" s="8">
        <f t="shared" si="51"/>
        <v>573.56274901214272</v>
      </c>
      <c r="Z154" s="9">
        <f t="shared" si="48"/>
        <v>0.16282323306075402</v>
      </c>
      <c r="AA154" s="8">
        <f t="shared" si="49"/>
        <v>2949.0472509878573</v>
      </c>
    </row>
    <row r="155" spans="1:27" x14ac:dyDescent="0.25">
      <c r="A155">
        <v>2</v>
      </c>
      <c r="B155" t="s">
        <v>204</v>
      </c>
      <c r="C155" t="s">
        <v>12</v>
      </c>
      <c r="D155" t="s">
        <v>209</v>
      </c>
      <c r="E155">
        <v>3229</v>
      </c>
      <c r="F155" t="s">
        <v>189</v>
      </c>
      <c r="G155">
        <v>25861</v>
      </c>
      <c r="H155" s="3">
        <v>89.25</v>
      </c>
      <c r="I155" s="3">
        <v>84</v>
      </c>
      <c r="J155" s="3">
        <v>3513.67</v>
      </c>
      <c r="K155" s="2">
        <v>46142</v>
      </c>
      <c r="L155" s="5">
        <v>34</v>
      </c>
      <c r="M155" s="7">
        <v>112.39563262684648</v>
      </c>
      <c r="N155" s="5">
        <v>80076</v>
      </c>
      <c r="O155" s="7">
        <v>422.62</v>
      </c>
      <c r="P155" s="7"/>
      <c r="Q155" t="s">
        <v>69</v>
      </c>
      <c r="R155" t="s">
        <v>65</v>
      </c>
      <c r="S155" s="8">
        <f t="shared" si="45"/>
        <v>535.01563262684647</v>
      </c>
      <c r="T155" s="8">
        <f t="shared" si="46"/>
        <v>5.9945729145865148</v>
      </c>
      <c r="U155" s="8">
        <f t="shared" si="47"/>
        <v>6.3692337217481718</v>
      </c>
      <c r="V155" s="8">
        <f t="shared" si="43"/>
        <v>12.144027485642031</v>
      </c>
      <c r="W155" s="4">
        <f t="shared" si="44"/>
        <v>15.172500000000001</v>
      </c>
      <c r="X155" s="12">
        <f t="shared" si="50"/>
        <v>11.170588899654096</v>
      </c>
      <c r="Y155" s="8">
        <f t="shared" si="51"/>
        <v>573.50274901214266</v>
      </c>
      <c r="Z155" s="9">
        <f t="shared" si="48"/>
        <v>0.16322043590096469</v>
      </c>
      <c r="AA155" s="8">
        <f t="shared" si="49"/>
        <v>2940.1672509878572</v>
      </c>
    </row>
    <row r="156" spans="1:27" x14ac:dyDescent="0.25">
      <c r="A156">
        <v>2</v>
      </c>
      <c r="B156" t="s">
        <v>204</v>
      </c>
      <c r="C156" t="s">
        <v>70</v>
      </c>
      <c r="D156" t="s">
        <v>209</v>
      </c>
      <c r="E156">
        <v>3237</v>
      </c>
      <c r="F156" t="s">
        <v>174</v>
      </c>
      <c r="G156">
        <v>25862</v>
      </c>
      <c r="H156" s="3">
        <v>2383.6</v>
      </c>
      <c r="I156" s="3">
        <v>2212.8000000000002</v>
      </c>
      <c r="J156" s="3">
        <v>79840.800000000003</v>
      </c>
      <c r="K156" s="2">
        <v>46142</v>
      </c>
      <c r="L156" s="5">
        <v>34</v>
      </c>
      <c r="M156" s="7">
        <v>3001.7504753988937</v>
      </c>
      <c r="N156" s="5"/>
      <c r="O156" s="7"/>
      <c r="P156" s="7">
        <v>48.8</v>
      </c>
      <c r="Q156" t="s">
        <v>71</v>
      </c>
      <c r="R156" t="s">
        <v>65</v>
      </c>
      <c r="S156" s="8">
        <f t="shared" si="45"/>
        <v>3050.5504753988939</v>
      </c>
      <c r="T156" s="8">
        <f t="shared" si="46"/>
        <v>1.2798080531124745</v>
      </c>
      <c r="U156" s="8">
        <f t="shared" si="47"/>
        <v>1.3785929480291457</v>
      </c>
      <c r="V156" s="8">
        <f t="shared" si="43"/>
        <v>324.33057607592542</v>
      </c>
      <c r="W156" s="4">
        <f t="shared" si="44"/>
        <v>405.21199999999999</v>
      </c>
      <c r="X156" s="12">
        <f t="shared" si="50"/>
        <v>298.33294903322684</v>
      </c>
      <c r="Y156" s="8">
        <f t="shared" si="51"/>
        <v>4078.4260005080459</v>
      </c>
      <c r="Z156" s="9">
        <f t="shared" si="48"/>
        <v>5.1081978142854853E-2</v>
      </c>
      <c r="AA156" s="8">
        <f t="shared" si="49"/>
        <v>75762.37399949196</v>
      </c>
    </row>
    <row r="157" spans="1:27" x14ac:dyDescent="0.25">
      <c r="A157">
        <v>2</v>
      </c>
      <c r="B157" t="s">
        <v>204</v>
      </c>
      <c r="C157" t="s">
        <v>12</v>
      </c>
      <c r="D157" t="s">
        <v>209</v>
      </c>
      <c r="E157">
        <v>3230</v>
      </c>
      <c r="F157" t="s">
        <v>168</v>
      </c>
      <c r="G157">
        <v>25863</v>
      </c>
      <c r="H157" s="3">
        <v>130.9</v>
      </c>
      <c r="I157" s="3">
        <v>123.2</v>
      </c>
      <c r="J157" s="3">
        <v>5141.8599999999997</v>
      </c>
      <c r="K157" s="2">
        <v>46142</v>
      </c>
      <c r="L157" s="5">
        <v>34</v>
      </c>
      <c r="M157" s="7">
        <v>164.84692785270818</v>
      </c>
      <c r="N157" s="5">
        <v>80077</v>
      </c>
      <c r="O157" s="7">
        <v>538.78</v>
      </c>
      <c r="P157" s="7"/>
      <c r="Q157" t="s">
        <v>144</v>
      </c>
      <c r="R157" t="s">
        <v>65</v>
      </c>
      <c r="S157" s="8">
        <f t="shared" si="45"/>
        <v>703.62692785270815</v>
      </c>
      <c r="T157" s="8">
        <f t="shared" si="46"/>
        <v>5.3753012059030416</v>
      </c>
      <c r="U157" s="8">
        <f t="shared" si="47"/>
        <v>5.7112575312719818</v>
      </c>
      <c r="V157" s="8">
        <f t="shared" si="43"/>
        <v>17.811240312274979</v>
      </c>
      <c r="W157" s="4">
        <f t="shared" si="44"/>
        <v>22.253000000000004</v>
      </c>
      <c r="X157" s="12">
        <f t="shared" si="50"/>
        <v>16.38353038615934</v>
      </c>
      <c r="Y157" s="8">
        <f t="shared" si="51"/>
        <v>760.07469855114255</v>
      </c>
      <c r="Z157" s="9">
        <f t="shared" si="48"/>
        <v>0.14782096333839168</v>
      </c>
      <c r="AA157" s="8">
        <f t="shared" si="49"/>
        <v>4381.7853014488574</v>
      </c>
    </row>
    <row r="158" spans="1:27" x14ac:dyDescent="0.25">
      <c r="A158">
        <v>2</v>
      </c>
      <c r="B158" t="s">
        <v>204</v>
      </c>
      <c r="C158" t="s">
        <v>12</v>
      </c>
      <c r="D158" t="s">
        <v>209</v>
      </c>
      <c r="E158">
        <v>3231</v>
      </c>
      <c r="F158" t="s">
        <v>172</v>
      </c>
      <c r="G158">
        <v>25864</v>
      </c>
      <c r="H158" s="3">
        <v>71.400000000000006</v>
      </c>
      <c r="I158" s="3">
        <v>67.2</v>
      </c>
      <c r="J158" s="3">
        <v>2807.36</v>
      </c>
      <c r="K158" s="2">
        <v>46142</v>
      </c>
      <c r="L158" s="5">
        <v>34</v>
      </c>
      <c r="M158" s="7">
        <v>89.916506101477196</v>
      </c>
      <c r="N158" s="5">
        <v>80072</v>
      </c>
      <c r="O158" s="7">
        <v>418.38</v>
      </c>
      <c r="P158" s="7"/>
      <c r="Q158" t="s">
        <v>126</v>
      </c>
      <c r="R158" t="s">
        <v>65</v>
      </c>
      <c r="S158" s="8">
        <f t="shared" si="45"/>
        <v>508.29650610147718</v>
      </c>
      <c r="T158" s="8">
        <f t="shared" si="46"/>
        <v>7.1189986848946374</v>
      </c>
      <c r="U158" s="8">
        <f t="shared" si="47"/>
        <v>7.5639361027005529</v>
      </c>
      <c r="V158" s="8">
        <f t="shared" si="43"/>
        <v>9.7152219885136262</v>
      </c>
      <c r="W158" s="4">
        <f t="shared" si="44"/>
        <v>12.138000000000002</v>
      </c>
      <c r="X158" s="12">
        <f t="shared" si="50"/>
        <v>8.9364711197232776</v>
      </c>
      <c r="Y158" s="8">
        <f t="shared" si="51"/>
        <v>539.0861992097141</v>
      </c>
      <c r="Z158" s="9">
        <f t="shared" si="48"/>
        <v>0.19202603129264292</v>
      </c>
      <c r="AA158" s="8">
        <f t="shared" si="49"/>
        <v>2268.2738007902863</v>
      </c>
    </row>
    <row r="159" spans="1:27" x14ac:dyDescent="0.25">
      <c r="A159">
        <v>2</v>
      </c>
      <c r="B159" t="s">
        <v>204</v>
      </c>
      <c r="C159" t="s">
        <v>12</v>
      </c>
      <c r="D159" t="s">
        <v>209</v>
      </c>
      <c r="E159">
        <v>3232</v>
      </c>
      <c r="F159" t="s">
        <v>172</v>
      </c>
      <c r="G159">
        <v>25865</v>
      </c>
      <c r="H159" s="3">
        <v>53.55</v>
      </c>
      <c r="I159" s="3">
        <v>50.4</v>
      </c>
      <c r="J159" s="3">
        <v>2109.9899999999998</v>
      </c>
      <c r="K159" s="2">
        <v>46142</v>
      </c>
      <c r="L159" s="5">
        <v>34</v>
      </c>
      <c r="M159" s="7">
        <v>67.437379576107887</v>
      </c>
      <c r="N159" s="5">
        <v>80085</v>
      </c>
      <c r="O159" s="7">
        <v>414.2</v>
      </c>
      <c r="P159" s="7"/>
      <c r="Q159" t="s">
        <v>73</v>
      </c>
      <c r="R159" t="s">
        <v>65</v>
      </c>
      <c r="S159" s="8">
        <f t="shared" si="45"/>
        <v>481.63737957610789</v>
      </c>
      <c r="T159" s="8">
        <f t="shared" si="46"/>
        <v>8.9941620835874492</v>
      </c>
      <c r="U159" s="8">
        <f t="shared" si="47"/>
        <v>9.5562972138116642</v>
      </c>
      <c r="V159" s="8">
        <f t="shared" si="43"/>
        <v>7.2864164913852179</v>
      </c>
      <c r="W159" s="4">
        <f t="shared" si="44"/>
        <v>9.1035000000000004</v>
      </c>
      <c r="X159" s="12">
        <f t="shared" si="50"/>
        <v>6.7023533397924568</v>
      </c>
      <c r="Y159" s="8">
        <f t="shared" si="51"/>
        <v>504.72964940728559</v>
      </c>
      <c r="Z159" s="9">
        <f t="shared" si="48"/>
        <v>0.23920949834230762</v>
      </c>
      <c r="AA159" s="8">
        <f t="shared" si="49"/>
        <v>1605.2603505927141</v>
      </c>
    </row>
    <row r="160" spans="1:27" x14ac:dyDescent="0.25">
      <c r="A160">
        <v>2</v>
      </c>
      <c r="B160" t="s">
        <v>204</v>
      </c>
      <c r="C160" t="s">
        <v>12</v>
      </c>
      <c r="D160" t="s">
        <v>209</v>
      </c>
      <c r="E160">
        <v>3233</v>
      </c>
      <c r="F160" t="s">
        <v>169</v>
      </c>
      <c r="G160">
        <v>25866</v>
      </c>
      <c r="H160" s="3">
        <v>89.25</v>
      </c>
      <c r="I160" s="3">
        <v>84</v>
      </c>
      <c r="J160" s="3">
        <v>3504.73</v>
      </c>
      <c r="K160" s="2">
        <v>46142</v>
      </c>
      <c r="L160" s="5">
        <v>34</v>
      </c>
      <c r="M160" s="7">
        <v>112.39563262684648</v>
      </c>
      <c r="N160" s="5">
        <v>80088</v>
      </c>
      <c r="O160" s="7">
        <v>422.57</v>
      </c>
      <c r="P160" s="7"/>
      <c r="Q160" t="s">
        <v>125</v>
      </c>
      <c r="R160" t="s">
        <v>65</v>
      </c>
      <c r="S160" s="8">
        <f t="shared" si="45"/>
        <v>534.96563262684651</v>
      </c>
      <c r="T160" s="8">
        <f t="shared" si="46"/>
        <v>5.9940126904968798</v>
      </c>
      <c r="U160" s="8">
        <f t="shared" si="47"/>
        <v>6.3686384836529344</v>
      </c>
      <c r="V160" s="8">
        <f t="shared" si="43"/>
        <v>12.144027485642031</v>
      </c>
      <c r="W160" s="4">
        <f t="shared" si="44"/>
        <v>15.172500000000001</v>
      </c>
      <c r="X160" s="12">
        <f t="shared" si="50"/>
        <v>11.170588899654096</v>
      </c>
      <c r="Y160" s="8">
        <f t="shared" si="51"/>
        <v>573.4527490121427</v>
      </c>
      <c r="Z160" s="9">
        <f t="shared" si="48"/>
        <v>0.16362251842856446</v>
      </c>
      <c r="AA160" s="8">
        <f t="shared" si="49"/>
        <v>2931.2772509878573</v>
      </c>
    </row>
    <row r="161" spans="1:27" x14ac:dyDescent="0.25">
      <c r="A161">
        <v>2</v>
      </c>
      <c r="B161" t="s">
        <v>204</v>
      </c>
      <c r="C161" t="s">
        <v>12</v>
      </c>
      <c r="D161" t="s">
        <v>209</v>
      </c>
      <c r="E161">
        <v>3234</v>
      </c>
      <c r="F161" t="s">
        <v>168</v>
      </c>
      <c r="G161">
        <v>25867</v>
      </c>
      <c r="H161" s="3">
        <v>89.25</v>
      </c>
      <c r="I161" s="3">
        <v>84</v>
      </c>
      <c r="J161" s="3">
        <v>3516.65</v>
      </c>
      <c r="K161" s="2">
        <v>46142</v>
      </c>
      <c r="L161" s="5">
        <v>34</v>
      </c>
      <c r="M161" s="7">
        <v>112.39563262684648</v>
      </c>
      <c r="N161" s="5">
        <v>80086</v>
      </c>
      <c r="O161" s="7">
        <v>422.64</v>
      </c>
      <c r="P161" s="7"/>
      <c r="Q161" t="s">
        <v>143</v>
      </c>
      <c r="R161" t="s">
        <v>65</v>
      </c>
      <c r="S161" s="8">
        <f t="shared" si="45"/>
        <v>535.03563262684645</v>
      </c>
      <c r="T161" s="8">
        <f t="shared" si="46"/>
        <v>5.9947970042223693</v>
      </c>
      <c r="U161" s="8">
        <f t="shared" si="47"/>
        <v>6.369471816986267</v>
      </c>
      <c r="V161" s="8">
        <f t="shared" si="43"/>
        <v>12.144027485642031</v>
      </c>
      <c r="W161" s="4">
        <f t="shared" si="44"/>
        <v>15.172500000000001</v>
      </c>
      <c r="X161" s="12">
        <f t="shared" si="50"/>
        <v>11.170588899654096</v>
      </c>
      <c r="Y161" s="8">
        <f t="shared" si="51"/>
        <v>573.52274901214264</v>
      </c>
      <c r="Z161" s="9">
        <f t="shared" si="48"/>
        <v>0.16308781056179678</v>
      </c>
      <c r="AA161" s="8">
        <f t="shared" si="49"/>
        <v>2943.1272509878572</v>
      </c>
    </row>
    <row r="162" spans="1:27" x14ac:dyDescent="0.25">
      <c r="A162">
        <v>2</v>
      </c>
      <c r="B162" t="s">
        <v>204</v>
      </c>
      <c r="C162" t="s">
        <v>12</v>
      </c>
      <c r="D162" t="s">
        <v>209</v>
      </c>
      <c r="E162">
        <v>3235</v>
      </c>
      <c r="F162" t="s">
        <v>172</v>
      </c>
      <c r="G162">
        <v>25868</v>
      </c>
      <c r="H162" s="3">
        <v>71.400000000000006</v>
      </c>
      <c r="I162" s="3">
        <v>67.2</v>
      </c>
      <c r="J162" s="3">
        <v>2807.36</v>
      </c>
      <c r="K162" s="2">
        <v>46142</v>
      </c>
      <c r="L162" s="5">
        <v>34</v>
      </c>
      <c r="M162" s="7">
        <v>89.916506101477196</v>
      </c>
      <c r="N162" s="5">
        <v>80084</v>
      </c>
      <c r="O162" s="7">
        <v>418.38</v>
      </c>
      <c r="P162" s="7"/>
      <c r="Q162" t="s">
        <v>127</v>
      </c>
      <c r="R162" t="s">
        <v>65</v>
      </c>
      <c r="S162" s="8">
        <f t="shared" si="45"/>
        <v>508.29650610147718</v>
      </c>
      <c r="T162" s="8">
        <f t="shared" si="46"/>
        <v>7.1189986848946374</v>
      </c>
      <c r="U162" s="8">
        <f t="shared" si="47"/>
        <v>7.5639361027005529</v>
      </c>
      <c r="V162" s="8">
        <f t="shared" si="43"/>
        <v>9.7152219885136262</v>
      </c>
      <c r="W162" s="4">
        <f t="shared" si="44"/>
        <v>12.138000000000002</v>
      </c>
      <c r="X162" s="12">
        <f t="shared" si="50"/>
        <v>8.9364711197232776</v>
      </c>
      <c r="Y162" s="8">
        <f t="shared" si="51"/>
        <v>539.0861992097141</v>
      </c>
      <c r="Z162" s="9">
        <f t="shared" ref="Z162:Z163" si="52">Y162/J162</f>
        <v>0.19202603129264292</v>
      </c>
      <c r="AA162" s="8">
        <f t="shared" si="49"/>
        <v>2268.2738007902863</v>
      </c>
    </row>
    <row r="163" spans="1:27" x14ac:dyDescent="0.25">
      <c r="A163">
        <v>2</v>
      </c>
      <c r="B163" t="s">
        <v>204</v>
      </c>
      <c r="C163" t="s">
        <v>75</v>
      </c>
      <c r="D163" t="s">
        <v>209</v>
      </c>
      <c r="E163">
        <v>3236</v>
      </c>
      <c r="F163" t="s">
        <v>190</v>
      </c>
      <c r="G163">
        <v>25869</v>
      </c>
      <c r="H163" s="3">
        <v>158.75</v>
      </c>
      <c r="I163" s="3">
        <v>150</v>
      </c>
      <c r="J163" s="3">
        <v>4526</v>
      </c>
      <c r="K163" s="2">
        <v>46142</v>
      </c>
      <c r="L163" s="5">
        <v>34</v>
      </c>
      <c r="M163" s="7">
        <v>199.91940257156168</v>
      </c>
      <c r="N163" s="5">
        <v>80087</v>
      </c>
      <c r="O163" s="7">
        <v>403.27</v>
      </c>
      <c r="P163" s="7"/>
      <c r="Q163" t="s">
        <v>76</v>
      </c>
      <c r="R163" t="s">
        <v>65</v>
      </c>
      <c r="S163" s="8">
        <f t="shared" si="45"/>
        <v>603.18940257156169</v>
      </c>
      <c r="T163" s="8">
        <f t="shared" si="46"/>
        <v>3.7996182839153492</v>
      </c>
      <c r="U163" s="8">
        <f t="shared" si="47"/>
        <v>4.0212626838104111</v>
      </c>
      <c r="V163" s="8">
        <f t="shared" si="43"/>
        <v>21.600721157934704</v>
      </c>
      <c r="W163" s="4">
        <f t="shared" si="44"/>
        <v>26.987500000000001</v>
      </c>
      <c r="X163" s="12">
        <f t="shared" si="50"/>
        <v>19.869254765491178</v>
      </c>
      <c r="Y163" s="8">
        <f t="shared" si="51"/>
        <v>671.6468784949875</v>
      </c>
      <c r="Z163" s="9">
        <f t="shared" si="52"/>
        <v>0.14839745437361632</v>
      </c>
      <c r="AA163" s="8">
        <f t="shared" si="49"/>
        <v>3854.3531215050125</v>
      </c>
    </row>
    <row r="165" spans="1:27" x14ac:dyDescent="0.25">
      <c r="I165" s="3"/>
    </row>
    <row r="168" spans="1:27" x14ac:dyDescent="0.25">
      <c r="H168" s="3"/>
      <c r="V168" s="3"/>
    </row>
    <row r="169" spans="1:27" x14ac:dyDescent="0.25">
      <c r="H169" s="3"/>
      <c r="V169" s="10"/>
    </row>
    <row r="170" spans="1:27" x14ac:dyDescent="0.25">
      <c r="V170" s="9"/>
    </row>
    <row r="171" spans="1:27" x14ac:dyDescent="0.25">
      <c r="H171" s="3"/>
    </row>
  </sheetData>
  <autoFilter ref="A1:AA163" xr:uid="{10D4F1C6-370D-4261-953A-B02E0B54CF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FRETE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Logistica Digi</cp:lastModifiedBy>
  <dcterms:created xsi:type="dcterms:W3CDTF">2026-05-06T17:05:18Z</dcterms:created>
  <dcterms:modified xsi:type="dcterms:W3CDTF">2026-06-03T19:31:45Z</dcterms:modified>
</cp:coreProperties>
</file>